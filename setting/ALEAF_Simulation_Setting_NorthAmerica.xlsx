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mc:AlternateContent xmlns:mc="http://schemas.openxmlformats.org/markup-compatibility/2006">
    <mc:Choice Requires="x15">
      <x15ac:absPath xmlns:x15ac="http://schemas.microsoft.com/office/spreadsheetml/2010/11/ac" url="/Users/kwonj/ALEAF/a-leaf-public/setting/"/>
    </mc:Choice>
  </mc:AlternateContent>
  <xr:revisionPtr revIDLastSave="0" documentId="13_ncr:1_{B50C6C7C-BFDF-024D-A6F0-26679C9212ED}" xr6:coauthVersionLast="47" xr6:coauthVersionMax="47" xr10:uidLastSave="{00000000-0000-0000-0000-000000000000}"/>
  <bookViews>
    <workbookView xWindow="0" yWindow="660" windowWidth="34560" windowHeight="20140" tabRatio="940" activeTab="2" xr2:uid="{00000000-000D-0000-FFFF-FFFF00000000}"/>
  </bookViews>
  <sheets>
    <sheet name="Simulation Setting" sheetId="41" r:id="rId1"/>
    <sheet name="Planning Design" sheetId="42" r:id="rId2"/>
    <sheet name="Gen Technology" sheetId="43" r:id="rId3"/>
    <sheet name="RA Setting" sheetId="83" r:id="rId4"/>
    <sheet name="Simulation Configuration" sheetId="86" r:id="rId5"/>
    <sheet name="Scenario -&gt;" sheetId="87" r:id="rId6"/>
    <sheet name="RA Scenarios" sheetId="88" r:id="rId7"/>
    <sheet name="Scenario Reduction Setting" sheetId="38" r:id="rId8"/>
    <sheet name="Financial Params -&gt;" sheetId="70" r:id="rId9"/>
    <sheet name="ATB Setting" sheetId="85" r:id="rId10"/>
    <sheet name="Storage Cost and Performance" sheetId="61" r:id="rId11"/>
    <sheet name="ITC" sheetId="89" r:id="rId12"/>
    <sheet name="PTC" sheetId="90" r:id="rId13"/>
    <sheet name="Solver Settings -&gt;" sheetId="91" r:id="rId14"/>
    <sheet name="HiGHS Setting" sheetId="93" r:id="rId15"/>
    <sheet name="CPLEX Setting" sheetId="92" r:id="rId16"/>
    <sheet name="cuOpt Setting" sheetId="94" r:id="rId17"/>
    <sheet name="MadNLP Setting" sheetId="95" r:id="rId18"/>
    <sheet name="Ancillary Tabs-&gt;" sheetId="50" r:id="rId19"/>
    <sheet name="Raw Materials" sheetId="67" r:id="rId20"/>
    <sheet name="Gen Technology Raw Materials" sheetId="66" r:id="rId21"/>
    <sheet name="External Constraints" sheetId="82" r:id="rId22"/>
    <sheet name="ATB Params" sheetId="84" r:id="rId23"/>
  </sheets>
  <definedNames>
    <definedName name="_xlnm._FilterDatabase" localSheetId="9" hidden="1">'ATB Setting'!$A$2:$D$8</definedName>
    <definedName name="_xlnm._FilterDatabase" localSheetId="2" hidden="1">'Gen Technology'!$A$2:$BY$180</definedName>
    <definedName name="_xlnm._FilterDatabase" localSheetId="1" hidden="1">'Planning Design'!$A$2:$C$31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 i="42" l="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J7" i="61"/>
  <c r="J6" i="61"/>
  <c r="J5"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Kwon, Jonghwan</author>
    <author>tc={D776FC56-1ABC-43FC-8759-D4842BC98673}</author>
    <author>tc={C4BA1153-937E-4EBD-BCC9-A6A96299ACF4}</author>
    <author>tc={C4E8041D-B060-45FF-86E5-0F45EA7329E4}</author>
    <author>tc={5982B666-498B-4B5D-A85C-A48587A0BEBA}</author>
  </authors>
  <commentList>
    <comment ref="W2" authorId="0" shapeId="0" xr:uid="{B6FCA0F1-A253-4FD8-822F-5D703CF93A3C}">
      <text>
        <r>
          <rPr>
            <sz val="9"/>
            <color indexed="81"/>
            <rFont val="Tahoma"/>
            <family val="2"/>
          </rPr>
          <t xml:space="preserve">If CAPEX is entered manually, both CAPEX and STO_CAPEX will be globally adjusted by the specified scaling factor. Otherwise, adjust the CAPEX_Scale values in the ATB and Storage Cost and Performance sheet accordingly.
</t>
        </r>
      </text>
    </comment>
    <comment ref="AH2" authorId="1" shapeId="0" xr:uid="{D776FC56-1ABC-43FC-8759-D4842BC98673}">
      <text>
        <t>[Threaded comment]
Your version of Excel allows you to read this threaded comment; however, any edits to it will get removed if the file is opened in a newer version of Excel. Learn more: https://go.microsoft.com/fwlink/?linkid=870924
Comment:
    Enter either % or $/MWh based on the “reserve_cost_type_flag” selection in the “Planning Design” tab</t>
      </text>
    </comment>
    <comment ref="AI2" authorId="2" shapeId="0" xr:uid="{C4BA1153-937E-4EBD-BCC9-A6A96299ACF4}">
      <text>
        <t xml:space="preserve">[Threaded comment]
Your version of Excel allows you to read this threaded comment; however, any edits to it will get removed if the file is opened in a newer version of Excel. Learn more: https://go.microsoft.com/fwlink/?linkid=870924
Comment:
    Enter either % or $/MWh based on the “reserve_cost_type_flag” selection in the “Planning Design” tab
</t>
      </text>
    </comment>
    <comment ref="AJ2" authorId="3" shapeId="0" xr:uid="{C4E8041D-B060-45FF-86E5-0F45EA7329E4}">
      <text>
        <t xml:space="preserve">[Threaded comment]
Your version of Excel allows you to read this threaded comment; however, any edits to it will get removed if the file is opened in a newer version of Excel. Learn more: https://go.microsoft.com/fwlink/?linkid=870924
Comment:
    Enter either % or $/MWh based on the “reserve_cost_type_flag” selection in the “Planning Design” tab
</t>
      </text>
    </comment>
    <comment ref="AK2" authorId="4" shapeId="0" xr:uid="{5982B666-498B-4B5D-A85C-A48587A0BEBA}">
      <text>
        <t xml:space="preserve">[Threaded comment]
Your version of Excel allows you to read this threaded comment; however, any edits to it will get removed if the file is opened in a newer version of Excel. Learn more: https://go.microsoft.com/fwlink/?linkid=870924
Comment:
    Enter either % or $/MWh based on the “reserve_cost_type_flag” selection in the “Planning Design” tab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Kwon, Jonghwan</author>
  </authors>
  <commentList>
    <comment ref="B82" authorId="0" shapeId="0" xr:uid="{9985EDA7-427A-6B40-94FF-002D41BD254E}">
      <text>
        <r>
          <rPr>
            <b/>
            <sz val="9"/>
            <color indexed="81"/>
            <rFont val="Tahoma"/>
            <family val="2"/>
          </rPr>
          <t>Kwon, Jonghwan:</t>
        </r>
        <r>
          <rPr>
            <sz val="9"/>
            <color indexed="81"/>
            <rFont val="Tahoma"/>
            <family val="2"/>
          </rPr>
          <t xml:space="preserve">
Any non-zero value will override state-level target values and will be applied to all planning stages.</t>
        </r>
      </text>
    </comment>
    <comment ref="B85" authorId="0" shapeId="0" xr:uid="{097B545F-7403-A14E-9C7A-FDF9DD50C58E}">
      <text>
        <r>
          <rPr>
            <b/>
            <sz val="9"/>
            <color indexed="81"/>
            <rFont val="Tahoma"/>
            <family val="2"/>
          </rPr>
          <t>Kwon, Jonghwan:</t>
        </r>
        <r>
          <rPr>
            <sz val="9"/>
            <color indexed="81"/>
            <rFont val="Tahoma"/>
            <family val="2"/>
          </rPr>
          <t xml:space="preserve">
Any non-zero value will override state-level target values and will be applied to all planning stages.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Kwon, Jonghwan</author>
  </authors>
  <commentList>
    <comment ref="K2" authorId="0" shapeId="0" xr:uid="{DE449088-2656-B041-8F2F-B8F836CE7FDE}">
      <text>
        <r>
          <rPr>
            <b/>
            <sz val="9"/>
            <color indexed="81"/>
            <rFont val="Tahoma"/>
            <family val="2"/>
          </rPr>
          <t>Kwon, Jonghwan:</t>
        </r>
        <r>
          <rPr>
            <sz val="9"/>
            <color indexed="81"/>
            <rFont val="Tahoma"/>
            <family val="2"/>
          </rPr>
          <t xml:space="preserve">
CAPEX and STO_CAPEX will be globally adjusted by the specified scaling factor.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Kwon, Jonghwan</author>
  </authors>
  <commentList>
    <comment ref="O2" authorId="0" shapeId="0" xr:uid="{CC46CFFA-C18C-4951-9DEF-032405DCD515}">
      <text>
        <r>
          <rPr>
            <b/>
            <sz val="9"/>
            <color indexed="81"/>
            <rFont val="Tahoma"/>
            <family val="2"/>
          </rPr>
          <t>Kwon, Jonghwan:</t>
        </r>
        <r>
          <rPr>
            <sz val="9"/>
            <color indexed="81"/>
            <rFont val="Tahoma"/>
            <family val="2"/>
          </rPr>
          <t xml:space="preserve">
CAPEX and STO_CAPEX will be globally adjusted by the specified scaling factor. </t>
        </r>
      </text>
    </comment>
  </commentList>
</comments>
</file>

<file path=xl/sharedStrings.xml><?xml version="1.0" encoding="utf-8"?>
<sst xmlns="http://schemas.openxmlformats.org/spreadsheetml/2006/main" count="5441" uniqueCount="1420">
  <si>
    <t>HFREQ</t>
  </si>
  <si>
    <t>FIVEMIN</t>
  </si>
  <si>
    <t>VOLL</t>
  </si>
  <si>
    <t>CTAX</t>
  </si>
  <si>
    <t>Setting</t>
  </si>
  <si>
    <t>Value</t>
  </si>
  <si>
    <t>Note</t>
  </si>
  <si>
    <t>const_name_flag</t>
  </si>
  <si>
    <t>test_system_name</t>
  </si>
  <si>
    <t>model_lp_file_name_value</t>
  </si>
  <si>
    <t>time_resolution</t>
  </si>
  <si>
    <t>fixing_extreme_days_flag</t>
  </si>
  <si>
    <t>generate_input_data_flag</t>
  </si>
  <si>
    <t>Hourly</t>
  </si>
  <si>
    <t>input_type_load_shape_flag</t>
  </si>
  <si>
    <t>input_type_load_MWh_flag</t>
  </si>
  <si>
    <t>input_type_wind_shape_flag</t>
  </si>
  <si>
    <t>input_type_wind_MWh_flag</t>
  </si>
  <si>
    <t>input_type_solar_shape_flag</t>
  </si>
  <si>
    <t>input_type_net_load_MWh_flag</t>
  </si>
  <si>
    <t>input_type_solar_MWh_flag</t>
  </si>
  <si>
    <t>load_increase_rate_value</t>
  </si>
  <si>
    <t>NG</t>
  </si>
  <si>
    <t>Hydro</t>
  </si>
  <si>
    <t>Coal</t>
  </si>
  <si>
    <t>Nuclear</t>
  </si>
  <si>
    <t>Solar</t>
  </si>
  <si>
    <t>Wind</t>
  </si>
  <si>
    <t>Storage</t>
  </si>
  <si>
    <t>EMSFAC</t>
  </si>
  <si>
    <t>CAPCRED</t>
  </si>
  <si>
    <t>RDL</t>
  </si>
  <si>
    <t>RUL</t>
  </si>
  <si>
    <t>HR</t>
  </si>
  <si>
    <t>SDC</t>
  </si>
  <si>
    <t>SUC</t>
  </si>
  <si>
    <t>NLC</t>
  </si>
  <si>
    <t>FC</t>
  </si>
  <si>
    <t>VOM</t>
  </si>
  <si>
    <t>FOM</t>
  </si>
  <si>
    <t>RETC</t>
  </si>
  <si>
    <t>PMIN</t>
  </si>
  <si>
    <t>PMAX</t>
  </si>
  <si>
    <t>CAP</t>
  </si>
  <si>
    <t>Case</t>
  </si>
  <si>
    <t>Market</t>
  </si>
  <si>
    <t>CRP</t>
  </si>
  <si>
    <t>4Hr Battery Storage</t>
  </si>
  <si>
    <t>Moderate</t>
  </si>
  <si>
    <t>Tech</t>
  </si>
  <si>
    <t>TechDetail</t>
  </si>
  <si>
    <t>Scenario</t>
  </si>
  <si>
    <t>Advanced</t>
  </si>
  <si>
    <t>CAPEX</t>
  </si>
  <si>
    <t>R&amp;D</t>
  </si>
  <si>
    <t>Hydropower</t>
  </si>
  <si>
    <t>2Hr Battery Storage</t>
  </si>
  <si>
    <t>Conservative</t>
  </si>
  <si>
    <t>Fixed O&amp;M</t>
  </si>
  <si>
    <t>Variable O&amp;M</t>
  </si>
  <si>
    <t>NPD1</t>
  </si>
  <si>
    <t>NPD2</t>
  </si>
  <si>
    <t>NPD3</t>
  </si>
  <si>
    <t>NPD4</t>
  </si>
  <si>
    <t>NSD1</t>
  </si>
  <si>
    <t>NSD2</t>
  </si>
  <si>
    <t>NSD3</t>
  </si>
  <si>
    <t>NSD4</t>
  </si>
  <si>
    <t>ATB</t>
  </si>
  <si>
    <t>Tech_ID</t>
  </si>
  <si>
    <t>CSP</t>
  </si>
  <si>
    <t>PV</t>
  </si>
  <si>
    <t>UNITGROUP</t>
  </si>
  <si>
    <t>UNIT_CATEGORY</t>
  </si>
  <si>
    <t>UNIT_TYPE</t>
  </si>
  <si>
    <t>STORAGE</t>
  </si>
  <si>
    <t>NUCLEAR</t>
  </si>
  <si>
    <t>FUEL</t>
  </si>
  <si>
    <t>FOR</t>
  </si>
  <si>
    <t>NA</t>
  </si>
  <si>
    <t>ATB Year</t>
  </si>
  <si>
    <t>ATB_Setting_ID</t>
  </si>
  <si>
    <t>Class1</t>
  </si>
  <si>
    <t>num_hours_per_day_value</t>
  </si>
  <si>
    <t>num_sub_period_value</t>
  </si>
  <si>
    <t>INVEST_FLAG</t>
  </si>
  <si>
    <t>RET_FLAG</t>
  </si>
  <si>
    <t>VRE_Flag</t>
  </si>
  <si>
    <t>WACC_value</t>
  </si>
  <si>
    <t>Charge_CAP</t>
  </si>
  <si>
    <t>STOMIN</t>
  </si>
  <si>
    <t>PTDF_threshold_value</t>
  </si>
  <si>
    <t>power_flow_mode_flag</t>
  </si>
  <si>
    <t>planning_reserve_margin_value</t>
  </si>
  <si>
    <t>MAXR</t>
  </si>
  <si>
    <t>Biopower</t>
  </si>
  <si>
    <t>Geothermal</t>
  </si>
  <si>
    <t>DeepEGSBinary</t>
  </si>
  <si>
    <t>Class3</t>
  </si>
  <si>
    <t>DeepEGSFlash</t>
  </si>
  <si>
    <t>Dedicated</t>
  </si>
  <si>
    <t>Class5</t>
  </si>
  <si>
    <t>HydroBinary</t>
  </si>
  <si>
    <t>HydroFlash</t>
  </si>
  <si>
    <t>NFEGSBinary</t>
  </si>
  <si>
    <t>NFEGSFlash</t>
  </si>
  <si>
    <t>export_model_lp_expansion_flag</t>
  </si>
  <si>
    <t>export_model_lp_operation_flag</t>
  </si>
  <si>
    <t>enforce_min_reserve_margin_flag</t>
  </si>
  <si>
    <t>FIVEMIN_OP</t>
  </si>
  <si>
    <t>PD</t>
  </si>
  <si>
    <t>SRSP</t>
  </si>
  <si>
    <t>NSRSP</t>
  </si>
  <si>
    <t>BATEFF</t>
  </si>
  <si>
    <t>Commitment</t>
  </si>
  <si>
    <t>Integrality</t>
  </si>
  <si>
    <t>STOHR_MAX</t>
  </si>
  <si>
    <t>MAXINVEST</t>
  </si>
  <si>
    <t>MININVEST</t>
  </si>
  <si>
    <t>MINRET</t>
  </si>
  <si>
    <t>ALEAF_LC_GTEP_model_instance.lp</t>
  </si>
  <si>
    <t>GEO</t>
  </si>
  <si>
    <t>THERMAL</t>
  </si>
  <si>
    <t>NGCC</t>
  </si>
  <si>
    <t>NGCT</t>
  </si>
  <si>
    <t>VRE</t>
  </si>
  <si>
    <t>psh</t>
  </si>
  <si>
    <t>csp</t>
  </si>
  <si>
    <t>pv</t>
  </si>
  <si>
    <t>OTHER</t>
  </si>
  <si>
    <t>FLEXRSP</t>
  </si>
  <si>
    <t>STO_CAPEX</t>
  </si>
  <si>
    <t>FCR</t>
  </si>
  <si>
    <t>ES_STO_INVEST_FLAG</t>
  </si>
  <si>
    <t>per_unit_base_value</t>
  </si>
  <si>
    <t>STOHR_MIN</t>
  </si>
  <si>
    <t>Clean_Energy_Flag</t>
  </si>
  <si>
    <t>reference_carbon_emission_level_value</t>
  </si>
  <si>
    <t>wind_ons</t>
  </si>
  <si>
    <t>wind_ofs</t>
  </si>
  <si>
    <t>NDAY_Groups</t>
  </si>
  <si>
    <t>NDAYS_in_Single_Group</t>
  </si>
  <si>
    <t>Description</t>
  </si>
  <si>
    <t>$/kW-year</t>
  </si>
  <si>
    <t>$/MWh</t>
  </si>
  <si>
    <t>Capital Costs</t>
  </si>
  <si>
    <t>Operating Costs</t>
  </si>
  <si>
    <t>RTE</t>
  </si>
  <si>
    <t>%</t>
  </si>
  <si>
    <t>Round-trip efficiency</t>
  </si>
  <si>
    <t>Cycle Life</t>
  </si>
  <si>
    <t>#</t>
  </si>
  <si>
    <t>Cycle_Life</t>
  </si>
  <si>
    <t>Calendar_Life</t>
  </si>
  <si>
    <t>Calendar Life</t>
  </si>
  <si>
    <t>years</t>
  </si>
  <si>
    <t>Capacity</t>
  </si>
  <si>
    <t>MW</t>
  </si>
  <si>
    <t>Duration</t>
  </si>
  <si>
    <t>Hour</t>
  </si>
  <si>
    <t>ESGC</t>
  </si>
  <si>
    <t>AET</t>
  </si>
  <si>
    <t>Annual energy throughput</t>
  </si>
  <si>
    <t>MWh-year</t>
  </si>
  <si>
    <t>Carbon_Emission_Reduction_Target_Flag</t>
  </si>
  <si>
    <t>RPS_Flag</t>
  </si>
  <si>
    <t>transmission_loss_percent_value</t>
  </si>
  <si>
    <t>NDAYS_in_Single_Group_OP</t>
  </si>
  <si>
    <t>transmission_expansion_flag</t>
  </si>
  <si>
    <t>Case_ID</t>
  </si>
  <si>
    <t>Material_Flag</t>
  </si>
  <si>
    <t>Cadmium</t>
  </si>
  <si>
    <t>Cobalt</t>
  </si>
  <si>
    <t>Copper</t>
  </si>
  <si>
    <t>Lithium</t>
  </si>
  <si>
    <t>Nickel</t>
  </si>
  <si>
    <t>Aluminium</t>
  </si>
  <si>
    <t>Magnesium</t>
  </si>
  <si>
    <t>Ferrous</t>
  </si>
  <si>
    <t xml:space="preserve">Graphite </t>
  </si>
  <si>
    <t>Material_ID</t>
  </si>
  <si>
    <t>M1</t>
  </si>
  <si>
    <t>M2</t>
  </si>
  <si>
    <t>Material Type</t>
  </si>
  <si>
    <t>Annual Limit</t>
  </si>
  <si>
    <t>M3</t>
  </si>
  <si>
    <t>M4</t>
  </si>
  <si>
    <t>M5</t>
  </si>
  <si>
    <t>M6</t>
  </si>
  <si>
    <t>M7</t>
  </si>
  <si>
    <t>M8</t>
  </si>
  <si>
    <t>M9</t>
  </si>
  <si>
    <t>enforce_material_constraints_flag</t>
  </si>
  <si>
    <t>distributed_run_flag</t>
  </si>
  <si>
    <t>Model</t>
  </si>
  <si>
    <t>Petroleum</t>
  </si>
  <si>
    <t>Resource_Limit_Flag</t>
  </si>
  <si>
    <t>DECC</t>
  </si>
  <si>
    <t>Total Capital Cost_kW_2022</t>
  </si>
  <si>
    <t>Total Capital Cost_kW_2023</t>
  </si>
  <si>
    <t>Total Capital Cost_kW_2024</t>
  </si>
  <si>
    <t>Total Capital Cost_kW_2025</t>
  </si>
  <si>
    <t>Total Capital Cost_kW_2026</t>
  </si>
  <si>
    <t>Total Capital Cost_kW_2027</t>
  </si>
  <si>
    <t>Total Capital Cost_kW_2028</t>
  </si>
  <si>
    <t>Total Capital Cost_kW_2029</t>
  </si>
  <si>
    <t>Total Capital Cost_kW_2030</t>
  </si>
  <si>
    <t>Total Capital Cost_kW_2031</t>
  </si>
  <si>
    <t>Total Capital Cost_kW_2032</t>
  </si>
  <si>
    <t>Total Capital Cost_kW_2033</t>
  </si>
  <si>
    <t>Total Capital Cost_kW_2034</t>
  </si>
  <si>
    <t>Total Capital Cost_kW_2035</t>
  </si>
  <si>
    <t>Total Capital Cost_kW_2036</t>
  </si>
  <si>
    <t>Total Capital Cost_kW_2037</t>
  </si>
  <si>
    <t>Total Capital Cost_kW_2038</t>
  </si>
  <si>
    <t>Total Capital Cost_kW_2039</t>
  </si>
  <si>
    <t>Total Capital Cost_kW_2040</t>
  </si>
  <si>
    <t>Total Capital Cost_kW_2041</t>
  </si>
  <si>
    <t>Total Capital Cost_kW_2042</t>
  </si>
  <si>
    <t>Total Capital Cost_kW_2043</t>
  </si>
  <si>
    <t>Total Capital Cost_kW_2044</t>
  </si>
  <si>
    <t>Total Capital Cost_kW_2045</t>
  </si>
  <si>
    <t>Total Capital Cost_kW_2046</t>
  </si>
  <si>
    <t>Total Capital Cost_kW_2047</t>
  </si>
  <si>
    <t>Total Capital Cost_kW_2048</t>
  </si>
  <si>
    <t>Total Capital Cost_kW_2049</t>
  </si>
  <si>
    <t>Total Capital Cost_kW_2050</t>
  </si>
  <si>
    <t>Total Capital Cost_kWh_2022</t>
  </si>
  <si>
    <t>Total Capital Cost_kWh_2023</t>
  </si>
  <si>
    <t>Total Capital Cost_kWh_2024</t>
  </si>
  <si>
    <t>Total Capital Cost_kWh_2025</t>
  </si>
  <si>
    <t>Total Capital Cost_kWh_2026</t>
  </si>
  <si>
    <t>Total Capital Cost_kWh_2027</t>
  </si>
  <si>
    <t>Total Capital Cost_kWh_2028</t>
  </si>
  <si>
    <t>Total Capital Cost_kWh_2029</t>
  </si>
  <si>
    <t>Total Capital Cost_kWh_2030</t>
  </si>
  <si>
    <t>Total Capital Cost_kWh_2031</t>
  </si>
  <si>
    <t>Total Capital Cost_kWh_2032</t>
  </si>
  <si>
    <t>Total Capital Cost_kWh_2033</t>
  </si>
  <si>
    <t>Total Capital Cost_kWh_2034</t>
  </si>
  <si>
    <t>Total Capital Cost_kWh_2035</t>
  </si>
  <si>
    <t>Total Capital Cost_kWh_2036</t>
  </si>
  <si>
    <t>Total Capital Cost_kWh_2037</t>
  </si>
  <si>
    <t>Total Capital Cost_kWh_2038</t>
  </si>
  <si>
    <t>Total Capital Cost_kWh_2039</t>
  </si>
  <si>
    <t>Total Capital Cost_kWh_2040</t>
  </si>
  <si>
    <t>Total Capital Cost_kWh_2041</t>
  </si>
  <si>
    <t>Total Capital Cost_kWh_2042</t>
  </si>
  <si>
    <t>Total Capital Cost_kWh_2043</t>
  </si>
  <si>
    <t>Total Capital Cost_kWh_2044</t>
  </si>
  <si>
    <t>Total Capital Cost_kWh_2045</t>
  </si>
  <si>
    <t>Total Capital Cost_kWh_2046</t>
  </si>
  <si>
    <t>Total Capital Cost_kWh_2047</t>
  </si>
  <si>
    <t>Total Capital Cost_kWh_2048</t>
  </si>
  <si>
    <t>Total Capital Cost_kWh_2049</t>
  </si>
  <si>
    <t>Total Capital Cost_kWh_2050</t>
  </si>
  <si>
    <t>Life</t>
  </si>
  <si>
    <t>NDAY_Groups_OP</t>
  </si>
  <si>
    <t>ITC_Flag</t>
  </si>
  <si>
    <t>PTC_Flag</t>
  </si>
  <si>
    <t>Ramp</t>
  </si>
  <si>
    <t>MAXC</t>
  </si>
  <si>
    <t>ITC Flag</t>
  </si>
  <si>
    <t>PTC Flag</t>
  </si>
  <si>
    <t>contingency_reserve_min_duration_value</t>
  </si>
  <si>
    <t>Must_Run_Flag</t>
  </si>
  <si>
    <t>Must_Run_Level</t>
  </si>
  <si>
    <t>Clean_Energy_Generation_Target_Start_Year</t>
  </si>
  <si>
    <t>Carbon_Emission_Reduction_Target_Start_Year</t>
  </si>
  <si>
    <t>Storage Commitment</t>
  </si>
  <si>
    <t>atb_year</t>
  </si>
  <si>
    <t>core_metric_case</t>
  </si>
  <si>
    <t>Commercial Battery Storage</t>
  </si>
  <si>
    <t>Pumped Storage Hydropower</t>
  </si>
  <si>
    <t>Residential Battery Storage</t>
  </si>
  <si>
    <t>Utility-Scale Battery Storage</t>
  </si>
  <si>
    <t>Utility-Scale PV-Plus-Battery</t>
  </si>
  <si>
    <t xml:space="preserve">Commercial DW </t>
  </si>
  <si>
    <t>Commercial PV</t>
  </si>
  <si>
    <t>Land-Based Wind</t>
  </si>
  <si>
    <t xml:space="preserve">Large DW </t>
  </si>
  <si>
    <t xml:space="preserve">Midsize DW </t>
  </si>
  <si>
    <t>Natural Gas</t>
  </si>
  <si>
    <t>Offshore Wind</t>
  </si>
  <si>
    <t xml:space="preserve">Residential DW </t>
  </si>
  <si>
    <t>Residential PV</t>
  </si>
  <si>
    <t>Utility PV</t>
  </si>
  <si>
    <t>technology_alias</t>
  </si>
  <si>
    <t>scenario</t>
  </si>
  <si>
    <t>1Hr Battery Storage</t>
  </si>
  <si>
    <t>6Hr Battery Storage</t>
  </si>
  <si>
    <t>8Hr Battery Storage</t>
  </si>
  <si>
    <t>CommercialScaleClass1</t>
  </si>
  <si>
    <t>CommercialScaleClass10</t>
  </si>
  <si>
    <t>CommercialScaleClass2</t>
  </si>
  <si>
    <t>CommercialScaleClass3</t>
  </si>
  <si>
    <t>CommercialScaleClass4</t>
  </si>
  <si>
    <t>CommercialScaleClass5</t>
  </si>
  <si>
    <t>CommercialScaleClass6</t>
  </si>
  <si>
    <t>CommercialScaleClass7</t>
  </si>
  <si>
    <t>CommercialScaleClass8</t>
  </si>
  <si>
    <t>CommercialScaleClass9</t>
  </si>
  <si>
    <t>Class10</t>
  </si>
  <si>
    <t>Class2</t>
  </si>
  <si>
    <t>Class4</t>
  </si>
  <si>
    <t>Class6</t>
  </si>
  <si>
    <t>Class7</t>
  </si>
  <si>
    <t>Class8</t>
  </si>
  <si>
    <t>Class9</t>
  </si>
  <si>
    <t>NPD5</t>
  </si>
  <si>
    <t>NPD6</t>
  </si>
  <si>
    <t>NPD7</t>
  </si>
  <si>
    <t>NPD8</t>
  </si>
  <si>
    <t>LargeScaleClass1</t>
  </si>
  <si>
    <t>LargeScaleClass10</t>
  </si>
  <si>
    <t>LargeScaleClass2</t>
  </si>
  <si>
    <t>LargeScaleClass3</t>
  </si>
  <si>
    <t>LargeScaleClass4</t>
  </si>
  <si>
    <t>LargeScaleClass5</t>
  </si>
  <si>
    <t>LargeScaleClass6</t>
  </si>
  <si>
    <t>LargeScaleClass7</t>
  </si>
  <si>
    <t>LargeScaleClass8</t>
  </si>
  <si>
    <t>LargeScaleClass9</t>
  </si>
  <si>
    <t>MidsizeScaleClass1</t>
  </si>
  <si>
    <t>MidsizeScaleClass10</t>
  </si>
  <si>
    <t>MidsizeScaleClass2</t>
  </si>
  <si>
    <t>MidsizeScaleClass3</t>
  </si>
  <si>
    <t>MidsizeScaleClass4</t>
  </si>
  <si>
    <t>MidsizeScaleClass5</t>
  </si>
  <si>
    <t>MidsizeScaleClass6</t>
  </si>
  <si>
    <t>MidsizeScaleClass7</t>
  </si>
  <si>
    <t>MidsizeScaleClass8</t>
  </si>
  <si>
    <t>MidsizeScaleClass9</t>
  </si>
  <si>
    <t>Class11</t>
  </si>
  <si>
    <t>Class12</t>
  </si>
  <si>
    <t>Class13</t>
  </si>
  <si>
    <t>Class14</t>
  </si>
  <si>
    <t>NatlClass1</t>
  </si>
  <si>
    <t>NatlClass10</t>
  </si>
  <si>
    <t>NatlClass11</t>
  </si>
  <si>
    <t>NatlClass12</t>
  </si>
  <si>
    <t>NatlClass13</t>
  </si>
  <si>
    <t>NatlClass14</t>
  </si>
  <si>
    <t>NatlClass15</t>
  </si>
  <si>
    <t>NatlClass2</t>
  </si>
  <si>
    <t>NatlClass3</t>
  </si>
  <si>
    <t>NatlClass4</t>
  </si>
  <si>
    <t>NatlClass5</t>
  </si>
  <si>
    <t>NatlClass6</t>
  </si>
  <si>
    <t>NatlClass7</t>
  </si>
  <si>
    <t>NatlClass8</t>
  </si>
  <si>
    <t>NatlClass9</t>
  </si>
  <si>
    <t>5kW/20kWh Battery Storage</t>
  </si>
  <si>
    <t>ShortDurationResStorage</t>
  </si>
  <si>
    <t>ResidentialScaleClass1</t>
  </si>
  <si>
    <t>ResidentialScaleClass10</t>
  </si>
  <si>
    <t>ResidentialScaleClass2</t>
  </si>
  <si>
    <t>ResidentialScaleClass3</t>
  </si>
  <si>
    <t>ResidentialScaleClass4</t>
  </si>
  <si>
    <t>ResidentialScaleClass5</t>
  </si>
  <si>
    <t>ResidentialScaleClass6</t>
  </si>
  <si>
    <t>ResidentialScaleClass7</t>
  </si>
  <si>
    <t>ResidentialScaleClass8</t>
  </si>
  <si>
    <t>ResidentialScaleClass9</t>
  </si>
  <si>
    <t>10Hr Battery Storage</t>
  </si>
  <si>
    <t>crpyears</t>
  </si>
  <si>
    <t>num_stages_value</t>
  </si>
  <si>
    <t>num_years_per_stage_value</t>
  </si>
  <si>
    <t>multi_round_solution_process_flag</t>
  </si>
  <si>
    <t>Resource_Limit_ID</t>
  </si>
  <si>
    <t>Base</t>
  </si>
  <si>
    <t>discount_rate_value</t>
  </si>
  <si>
    <t>storage initialization option</t>
  </si>
  <si>
    <t>FUEL_LIMIT</t>
  </si>
  <si>
    <t>Fixed Profile</t>
  </si>
  <si>
    <t>Dispatch</t>
  </si>
  <si>
    <t>Dispatchable</t>
  </si>
  <si>
    <t>enforce_rotational_inertia_constraints_flag</t>
  </si>
  <si>
    <t>Power_Factor</t>
  </si>
  <si>
    <t>External_Constraints_ID</t>
  </si>
  <si>
    <t>Resource Unit Group</t>
  </si>
  <si>
    <t>Operator</t>
  </si>
  <si>
    <t>Region ID</t>
  </si>
  <si>
    <t>Value_Unit</t>
  </si>
  <si>
    <t>Parameter</t>
  </si>
  <si>
    <t>Compared To</t>
  </si>
  <si>
    <t>Planning Year</t>
  </si>
  <si>
    <t>run_operation_in_parallel_flag</t>
  </si>
  <si>
    <t>transmission_expansion_limit_value</t>
  </si>
  <si>
    <t>[ Other Simulation Setting ]</t>
  </si>
  <si>
    <t>Fuel_ID</t>
  </si>
  <si>
    <t>CoalST</t>
  </si>
  <si>
    <t>GasCT</t>
  </si>
  <si>
    <t>GasCC</t>
  </si>
  <si>
    <t>RA_FOR</t>
  </si>
  <si>
    <t>GasST</t>
  </si>
  <si>
    <t>[Inertia, Material]</t>
  </si>
  <si>
    <t>[ETC]</t>
  </si>
  <si>
    <t>HYDRO_ROR</t>
  </si>
  <si>
    <t>Dispatch and Commitment Options</t>
  </si>
  <si>
    <t>Capacity and Energy</t>
  </si>
  <si>
    <t>Financial</t>
  </si>
  <si>
    <t>Technical Characteristics</t>
  </si>
  <si>
    <t>Investment Options</t>
  </si>
  <si>
    <t>Category</t>
  </si>
  <si>
    <t>Run_Flag</t>
  </si>
  <si>
    <t>Financial Options</t>
  </si>
  <si>
    <t>Case Definition</t>
  </si>
  <si>
    <t>Network Data File</t>
  </si>
  <si>
    <t>Hydro Options</t>
  </si>
  <si>
    <t>ETC</t>
  </si>
  <si>
    <t>Reservoir_Hydro_Operation_Option</t>
  </si>
  <si>
    <t>Hydro_Budget_File_ID</t>
  </si>
  <si>
    <t>Hydro_Value_File_ID</t>
  </si>
  <si>
    <t>Network_Data_File_ID</t>
  </si>
  <si>
    <t>[ Test System ]</t>
  </si>
  <si>
    <t>PSH</t>
  </si>
  <si>
    <t>Resource Limits</t>
  </si>
  <si>
    <t>[ Topology Setting ]</t>
  </si>
  <si>
    <t>generation_representation_option</t>
  </si>
  <si>
    <t>Expansion Model</t>
  </si>
  <si>
    <t>Operation Model</t>
  </si>
  <si>
    <t>Economic Dispatch</t>
  </si>
  <si>
    <t>Dispatch_Mode_in_EXP</t>
  </si>
  <si>
    <t>Dispatch_Mode_in_OP</t>
  </si>
  <si>
    <t>Run_expansion_flag</t>
  </si>
  <si>
    <t>Run_operation_flag</t>
  </si>
  <si>
    <t>[Transmission Expansion and Line Loss]</t>
  </si>
  <si>
    <t>[Planning Horizon]</t>
  </si>
  <si>
    <t>dollar_year_value</t>
  </si>
  <si>
    <t>Tech_Type</t>
  </si>
  <si>
    <t>Existing</t>
  </si>
  <si>
    <t>New</t>
  </si>
  <si>
    <t>[ RA Setting]</t>
  </si>
  <si>
    <t>num_risk_scenario</t>
  </si>
  <si>
    <t>Regional Resource Limit</t>
  </si>
  <si>
    <t>Regional_resource_limits_flag</t>
  </si>
  <si>
    <t>Resource_limit_level_value</t>
  </si>
  <si>
    <t>fix_peak_demand_day_flag</t>
  </si>
  <si>
    <t>fix_peak_net_demand_day_flag</t>
  </si>
  <si>
    <t>fix_peak_solar_generation_day_flag</t>
  </si>
  <si>
    <t>fix_peak_wind_generation_day_flag</t>
  </si>
  <si>
    <t>fix_least_solar_generation_day_flag</t>
  </si>
  <si>
    <t>fix_least_wind_generation_day_flag</t>
  </si>
  <si>
    <t>Reliability</t>
  </si>
  <si>
    <t>RA_method</t>
  </si>
  <si>
    <t>ELCC_Flag</t>
  </si>
  <si>
    <t>system_peak_scale</t>
  </si>
  <si>
    <t>[ Forced Outage Rate Setting]</t>
  </si>
  <si>
    <t>reference_temp</t>
  </si>
  <si>
    <t>continue_from_previous_run_flag</t>
  </si>
  <si>
    <t>Clean_Energy_Generation_Penalty</t>
  </si>
  <si>
    <t>Clean_Energy_Generation_Target_EXP_Flag</t>
  </si>
  <si>
    <t>Clean_Energy_Generation_Target_OP_Flag</t>
  </si>
  <si>
    <t>[ ETC]</t>
  </si>
  <si>
    <t>Repday_Selection_Mode_EXP</t>
  </si>
  <si>
    <t>Repday_Selection_Mode_OP</t>
  </si>
  <si>
    <t>Load_File_ID</t>
  </si>
  <si>
    <t>Wind_Ons_File_ID</t>
  </si>
  <si>
    <t>PV_File_ID</t>
  </si>
  <si>
    <t>Time-Series Data ID</t>
  </si>
  <si>
    <t>allow_repday_overlap_flag</t>
  </si>
  <si>
    <t>Clean_Energy_Generation_Target_EXP_Type</t>
  </si>
  <si>
    <t>Annual</t>
  </si>
  <si>
    <t>Scenario Reduction</t>
  </si>
  <si>
    <t>Apply_Flag</t>
  </si>
  <si>
    <t>Stochastic_Expansion_Flag</t>
  </si>
  <si>
    <t>STO_SCE</t>
  </si>
  <si>
    <t>Num_Sto_Scenarios</t>
  </si>
  <si>
    <t>Stochastic_Load_Flag</t>
  </si>
  <si>
    <t>Stochastic_Wind_Ons_Flag</t>
  </si>
  <si>
    <t>Stochastic_PV_Flag</t>
  </si>
  <si>
    <t>Stochastic_File_ID</t>
  </si>
  <si>
    <t>repair_time_bound</t>
  </si>
  <si>
    <t>Hydro_Flexibility_Percent</t>
  </si>
  <si>
    <t>Hydro_Budget_Flag</t>
  </si>
  <si>
    <t>Hydro_Flexibility_Flag</t>
  </si>
  <si>
    <t>risk_tol_value</t>
  </si>
  <si>
    <t>export_baseline_dispatch_results_flag</t>
  </si>
  <si>
    <t>export_ELCC_dispatch_results_flag</t>
  </si>
  <si>
    <t>[ Storage Setting]</t>
  </si>
  <si>
    <t>Post_Contingency_Discharge_method</t>
  </si>
  <si>
    <t>Post_Contingency_Charge_method</t>
  </si>
  <si>
    <t>Optimal</t>
  </si>
  <si>
    <t>min_num_risk_in_each_day_value</t>
  </si>
  <si>
    <t>Stochastic Optimization (Expansion Only)</t>
  </si>
  <si>
    <t>Load_Shed_in_EXP_Flag</t>
  </si>
  <si>
    <t>OR_Shortage_in_EXP_Flag</t>
  </si>
  <si>
    <t>Load_Shed_in_OP_Flag</t>
  </si>
  <si>
    <t>OR_Shortage_in_OP_Flag</t>
  </si>
  <si>
    <t>MIP_relaxed_solution_bounds_flag</t>
  </si>
  <si>
    <t>MIP_relaxed_solution_bounds_step_value</t>
  </si>
  <si>
    <t>SYSTEM_MAXINVEST</t>
  </si>
  <si>
    <t>SYSTEM_MININVEST</t>
  </si>
  <si>
    <t>Total_ENS_MWh</t>
  </si>
  <si>
    <t>Max_ENS_MWh</t>
  </si>
  <si>
    <t>Reliability (Expansion Only, Annual Caps)</t>
  </si>
  <si>
    <t>ENS_Hours</t>
  </si>
  <si>
    <t>Total_ENS_MWh_Cap_Flag</t>
  </si>
  <si>
    <t>ENS_Hours_Cap_Flag</t>
  </si>
  <si>
    <t>Max_ENS_MWh_Cap_Flag</t>
  </si>
  <si>
    <t>Carbon_Emission_Reduction_Global_Target_Value</t>
  </si>
  <si>
    <t>Clean_Energy_Generation_Global_Target_Value</t>
  </si>
  <si>
    <t>CAPEX_Scale</t>
  </si>
  <si>
    <t>Repday_File_ID</t>
  </si>
  <si>
    <t>num_distributed_scenarios_per_worker_value</t>
  </si>
  <si>
    <t>Regional</t>
  </si>
  <si>
    <t>Reference temperature in Celsius for the temperature-dependent generation outage sampling</t>
  </si>
  <si>
    <t>ESGC_Setting_ID</t>
  </si>
  <si>
    <t>Land_Use</t>
  </si>
  <si>
    <t>Performance</t>
  </si>
  <si>
    <t>risk_filtering_flag</t>
  </si>
  <si>
    <t>export_dispatch_results_threshold_value</t>
  </si>
  <si>
    <t>preselected_days_list</t>
  </si>
  <si>
    <t>planning_reserve_margin_type</t>
  </si>
  <si>
    <t>minimum</t>
  </si>
  <si>
    <t>Coal Retrofits</t>
  </si>
  <si>
    <t>Distributed Wind</t>
  </si>
  <si>
    <t>Natural Gas Retrofits</t>
  </si>
  <si>
    <t>Coal-95%-CCS</t>
  </si>
  <si>
    <t>90%-CCS</t>
  </si>
  <si>
    <t>*</t>
  </si>
  <si>
    <t>NG 1-on-1 Combined Cycle (H-Frame)</t>
  </si>
  <si>
    <t>F-Frame CC 90%-CCS</t>
  </si>
  <si>
    <t>Nuclear - Large</t>
  </si>
  <si>
    <t>Coal-99%-CCS</t>
  </si>
  <si>
    <t>95%-CCS</t>
  </si>
  <si>
    <t>NG 1-on-1 Combined Cycle (H-Frame) 95% CCS</t>
  </si>
  <si>
    <t>F-Frame CC 95%-CCS</t>
  </si>
  <si>
    <t>Nuclear - Small</t>
  </si>
  <si>
    <t>Coal-IGCC</t>
  </si>
  <si>
    <t>NG 1-on-1 Combined Cycle (H-Frame) 97% CCS</t>
  </si>
  <si>
    <t>H-Frame CC 90%-CCS</t>
  </si>
  <si>
    <t>Coal-IGCC-90%-CCS</t>
  </si>
  <si>
    <t>NG 2-on-1 Combined Cycle (F-Frame)</t>
  </si>
  <si>
    <t>H-Frame CC 95%-CCS</t>
  </si>
  <si>
    <t>Coal-new</t>
  </si>
  <si>
    <t>NG 2-on-1 Combined Cycle (F-Frame) 95% CCS</t>
  </si>
  <si>
    <t>NG 2-on-1 Combined Cycle (F-Frame) 97% CCS</t>
  </si>
  <si>
    <t>NG 2-on-1 Combined Cycle (H-Frame)</t>
  </si>
  <si>
    <t>NG 2-on-1 Combined Cycle (H-Frame) 95% CCS</t>
  </si>
  <si>
    <t>NG 2-on-1 Combined Cycle (H-Frame) 97% CCS</t>
  </si>
  <si>
    <t>NG Combustion Turbine (F-Frame)</t>
  </si>
  <si>
    <t>NG Fuel Cell</t>
  </si>
  <si>
    <t>NG Fuel Cell 98% CCS</t>
  </si>
  <si>
    <t>NatlClass1ONR</t>
  </si>
  <si>
    <t>NatlClass3ONR</t>
  </si>
  <si>
    <t>NatlClass4ONR</t>
  </si>
  <si>
    <t>NatlClass5ONR</t>
  </si>
  <si>
    <t>Run_RA_flag</t>
  </si>
  <si>
    <t>update_CAPCRED_in_each_round_of_Expansion_Flag</t>
  </si>
  <si>
    <t>NDAY_Groups_RA</t>
  </si>
  <si>
    <t>NDAYS_in_Single_Group_RA</t>
  </si>
  <si>
    <t>Sequential Economic Dispatch</t>
  </si>
  <si>
    <t>Low_Price_Fast_Learning</t>
  </si>
  <si>
    <t>Mid_Price_Mod_Learning</t>
  </si>
  <si>
    <t>High_Price_Slow_Learning</t>
  </si>
  <si>
    <t>Reliability Assessment Model</t>
  </si>
  <si>
    <t>[Network Setting]</t>
  </si>
  <si>
    <t>GTEP_multi_round_info.json</t>
  </si>
  <si>
    <t>round_id_to_run_RA</t>
  </si>
  <si>
    <t>Emission_2</t>
  </si>
  <si>
    <t>Emission_3</t>
  </si>
  <si>
    <t>Emission_1</t>
  </si>
  <si>
    <t>Emission_CO2</t>
  </si>
  <si>
    <t>run_GTEP_in_parallel_flag</t>
  </si>
  <si>
    <t>preselected_extreme_days_list</t>
  </si>
  <si>
    <t>[]</t>
  </si>
  <si>
    <t>Fuel-Regional</t>
  </si>
  <si>
    <t>project_finance_factor_value</t>
  </si>
  <si>
    <t>transmission_investment_CRP_value</t>
  </si>
  <si>
    <t>export_model_reference_json_expansion_flag</t>
  </si>
  <si>
    <t>export_model_reference_json_operation_flag</t>
  </si>
  <si>
    <t>[Financial]</t>
  </si>
  <si>
    <t>Planning Design: PRM</t>
  </si>
  <si>
    <t>Storage Operation</t>
  </si>
  <si>
    <t>Market Parameters</t>
  </si>
  <si>
    <t>[ Solution Method Setting ]</t>
  </si>
  <si>
    <t>Repday_Selection_Mode_RA</t>
  </si>
  <si>
    <t>Policy and Regulation
Tax Credit, CTAX</t>
  </si>
  <si>
    <t>Policy and Regulation
RPS</t>
  </si>
  <si>
    <t>Allow_Alternative_RPS_Compliance_Flag</t>
  </si>
  <si>
    <t>RPS_Penalty</t>
  </si>
  <si>
    <t>RPS_Global_Target_Value</t>
  </si>
  <si>
    <t>Policy and Regulation
Clean Energy Generation Target</t>
  </si>
  <si>
    <t>Policy and Regulation
Carbon Emission Reduction Target</t>
  </si>
  <si>
    <t>per_unit_econ_base_value</t>
  </si>
  <si>
    <t>Maximum</t>
  </si>
  <si>
    <t>High</t>
  </si>
  <si>
    <t>reserve_cost_type_flag</t>
  </si>
  <si>
    <t>reg_cost</t>
  </si>
  <si>
    <t>nspin_cost</t>
  </si>
  <si>
    <t>flex_cost</t>
  </si>
  <si>
    <t>spin_cost</t>
  </si>
  <si>
    <t>generation_parameter_source_option</t>
  </si>
  <si>
    <t>percentage</t>
  </si>
  <si>
    <t>Test_EXP</t>
  </si>
  <si>
    <t>Temperature_File_ID</t>
  </si>
  <si>
    <t>generate_gen_index_with_investment_options_flag</t>
  </si>
  <si>
    <t>95 percentile</t>
  </si>
  <si>
    <t>NorthAmerica</t>
  </si>
  <si>
    <t>New001</t>
  </si>
  <si>
    <t>New002</t>
  </si>
  <si>
    <t>New003</t>
  </si>
  <si>
    <t>New004</t>
  </si>
  <si>
    <t>NUC</t>
  </si>
  <si>
    <t>New005</t>
  </si>
  <si>
    <t>SUN</t>
  </si>
  <si>
    <t>New006</t>
  </si>
  <si>
    <t>WND</t>
  </si>
  <si>
    <t>New007</t>
  </si>
  <si>
    <t>New008</t>
  </si>
  <si>
    <t>Other</t>
  </si>
  <si>
    <t>MWH</t>
  </si>
  <si>
    <t>New009</t>
  </si>
  <si>
    <t>New010</t>
  </si>
  <si>
    <t>New011</t>
  </si>
  <si>
    <t>New012</t>
  </si>
  <si>
    <t>New013</t>
  </si>
  <si>
    <t>New014</t>
  </si>
  <si>
    <t>WAT</t>
  </si>
  <si>
    <t>New015</t>
  </si>
  <si>
    <t>New016</t>
  </si>
  <si>
    <t>New017</t>
  </si>
  <si>
    <t>New018</t>
  </si>
  <si>
    <t>New019</t>
  </si>
  <si>
    <t>New020</t>
  </si>
  <si>
    <t>New021</t>
  </si>
  <si>
    <t>New022</t>
  </si>
  <si>
    <t>New023</t>
  </si>
  <si>
    <t>New024</t>
  </si>
  <si>
    <t>New025</t>
  </si>
  <si>
    <t>Existing001</t>
  </si>
  <si>
    <t>AB_ST</t>
  </si>
  <si>
    <t>AB</t>
  </si>
  <si>
    <t>Existing002</t>
  </si>
  <si>
    <t>BFG_OT</t>
  </si>
  <si>
    <t>BFG</t>
  </si>
  <si>
    <t>Existing003</t>
  </si>
  <si>
    <t>BIT_ST_HR09</t>
  </si>
  <si>
    <t>BIT</t>
  </si>
  <si>
    <t>Existing004</t>
  </si>
  <si>
    <t>BIT_ST_HR10</t>
  </si>
  <si>
    <t>Existing005</t>
  </si>
  <si>
    <t>BIT_ST_HR11</t>
  </si>
  <si>
    <t>Existing006</t>
  </si>
  <si>
    <t>BIT_ST_HR12</t>
  </si>
  <si>
    <t>Existing007</t>
  </si>
  <si>
    <t>BIT_ST_HR13</t>
  </si>
  <si>
    <t>Existing008</t>
  </si>
  <si>
    <t>BIT_ST_HR14</t>
  </si>
  <si>
    <t>Existing009</t>
  </si>
  <si>
    <t>BIT_ST_HR15</t>
  </si>
  <si>
    <t>Existing010</t>
  </si>
  <si>
    <t>BIT_ST_HR16</t>
  </si>
  <si>
    <t>Existing011</t>
  </si>
  <si>
    <t>BIT_ST_HR17</t>
  </si>
  <si>
    <t>Existing012</t>
  </si>
  <si>
    <t>BIT_ST_HR18</t>
  </si>
  <si>
    <t>Existing013</t>
  </si>
  <si>
    <t>DFO_CC_HR09</t>
  </si>
  <si>
    <t>DFO</t>
  </si>
  <si>
    <t>Existing014</t>
  </si>
  <si>
    <t>DFO_CC_HR10</t>
  </si>
  <si>
    <t>Existing015</t>
  </si>
  <si>
    <t>DFO_GT_HR12</t>
  </si>
  <si>
    <t>Existing016</t>
  </si>
  <si>
    <t>DFO_GT_HR13</t>
  </si>
  <si>
    <t>Existing017</t>
  </si>
  <si>
    <t>DFO_GT_HR14</t>
  </si>
  <si>
    <t>Existing018</t>
  </si>
  <si>
    <t>DFO_GT_HR15</t>
  </si>
  <si>
    <t>Existing019</t>
  </si>
  <si>
    <t>DFO_GT_HR16</t>
  </si>
  <si>
    <t>Existing020</t>
  </si>
  <si>
    <t>DFO_GT_HR17</t>
  </si>
  <si>
    <t>Existing021</t>
  </si>
  <si>
    <t>DFO_GT_HR18</t>
  </si>
  <si>
    <t>Existing022</t>
  </si>
  <si>
    <t>DFO_GT_HR19</t>
  </si>
  <si>
    <t>Existing023</t>
  </si>
  <si>
    <t>DFO_GT_HR20</t>
  </si>
  <si>
    <t>Existing024</t>
  </si>
  <si>
    <t>DFO_GT_HR21</t>
  </si>
  <si>
    <t>Existing025</t>
  </si>
  <si>
    <t>DFO_IC_HR07</t>
  </si>
  <si>
    <t>Existing026</t>
  </si>
  <si>
    <t>DFO_IC_HR08</t>
  </si>
  <si>
    <t>Existing027</t>
  </si>
  <si>
    <t>DFO_IC_HR09</t>
  </si>
  <si>
    <t>Existing028</t>
  </si>
  <si>
    <t>DFO_IC_HR10</t>
  </si>
  <si>
    <t>Existing029</t>
  </si>
  <si>
    <t>DFO_IC_HR11</t>
  </si>
  <si>
    <t>Existing030</t>
  </si>
  <si>
    <t>DFO_IC_HR12</t>
  </si>
  <si>
    <t>Existing031</t>
  </si>
  <si>
    <t>DFO_IC_HR13</t>
  </si>
  <si>
    <t>Existing032</t>
  </si>
  <si>
    <t>DFO_IC_HR14</t>
  </si>
  <si>
    <t>Existing033</t>
  </si>
  <si>
    <t>DFO_IC_HR15</t>
  </si>
  <si>
    <t>Existing034</t>
  </si>
  <si>
    <t>DFO_IC_HR16</t>
  </si>
  <si>
    <t>Existing035</t>
  </si>
  <si>
    <t>GEO_BT</t>
  </si>
  <si>
    <t>Existing036</t>
  </si>
  <si>
    <t>GEO_ST</t>
  </si>
  <si>
    <t>Existing037</t>
  </si>
  <si>
    <t>JF_GT</t>
  </si>
  <si>
    <t>JF</t>
  </si>
  <si>
    <t>Existing038</t>
  </si>
  <si>
    <t>KER_GT_HR11</t>
  </si>
  <si>
    <t>KER</t>
  </si>
  <si>
    <t>Existing039</t>
  </si>
  <si>
    <t>KER_GT_HR12</t>
  </si>
  <si>
    <t>Existing040</t>
  </si>
  <si>
    <t>KER_GT_HR13</t>
  </si>
  <si>
    <t>Existing041</t>
  </si>
  <si>
    <t>KER_GT_HR14</t>
  </si>
  <si>
    <t>Existing042</t>
  </si>
  <si>
    <t>KER_GT_HR15</t>
  </si>
  <si>
    <t>Existing043</t>
  </si>
  <si>
    <t>KER_GT_HR16</t>
  </si>
  <si>
    <t>Existing044</t>
  </si>
  <si>
    <t>KER_GT_HR17</t>
  </si>
  <si>
    <t>Existing045</t>
  </si>
  <si>
    <t>KER_GT_HR18</t>
  </si>
  <si>
    <t>Existing046</t>
  </si>
  <si>
    <t>KER_GT_HR19</t>
  </si>
  <si>
    <t>Existing047</t>
  </si>
  <si>
    <t>KER_GT_HR20</t>
  </si>
  <si>
    <t>Existing048</t>
  </si>
  <si>
    <t>LFG_CC</t>
  </si>
  <si>
    <t>LFG</t>
  </si>
  <si>
    <t>Existing049</t>
  </si>
  <si>
    <t>LFG_FC</t>
  </si>
  <si>
    <t>Existing050</t>
  </si>
  <si>
    <t>LFG_GT</t>
  </si>
  <si>
    <t>Existing051</t>
  </si>
  <si>
    <t>LFG_IC</t>
  </si>
  <si>
    <t>Existing052</t>
  </si>
  <si>
    <t>LFG_ST</t>
  </si>
  <si>
    <t>Existing053</t>
  </si>
  <si>
    <t>LIG_ST_HR10</t>
  </si>
  <si>
    <t>LIG</t>
  </si>
  <si>
    <t>Existing054</t>
  </si>
  <si>
    <t>LIG_ST_HR11</t>
  </si>
  <si>
    <t>Existing055</t>
  </si>
  <si>
    <t>LIG_ST_HR12</t>
  </si>
  <si>
    <t>Existing056</t>
  </si>
  <si>
    <t>LIG_ST_HR13</t>
  </si>
  <si>
    <t>Existing057</t>
  </si>
  <si>
    <t>LIG_ST_HR14</t>
  </si>
  <si>
    <t>Existing058</t>
  </si>
  <si>
    <t>MSW_ST</t>
  </si>
  <si>
    <t>MSW</t>
  </si>
  <si>
    <t>Existing059</t>
  </si>
  <si>
    <t>MWH_BA_FLB</t>
  </si>
  <si>
    <t>Existing060</t>
  </si>
  <si>
    <t>MWH_BA_LIB</t>
  </si>
  <si>
    <t>Existing061</t>
  </si>
  <si>
    <t>MWH_BA_NAB</t>
  </si>
  <si>
    <t>Existing062</t>
  </si>
  <si>
    <t>MWH_BA_NIB</t>
  </si>
  <si>
    <t>Existing063</t>
  </si>
  <si>
    <t>MWH_BA_OTH</t>
  </si>
  <si>
    <t>Existing064</t>
  </si>
  <si>
    <t>MWH_BA_PBB</t>
  </si>
  <si>
    <t>Existing065</t>
  </si>
  <si>
    <t>MWH_FW</t>
  </si>
  <si>
    <t>Existing066</t>
  </si>
  <si>
    <t>NG_CC_HR06</t>
  </si>
  <si>
    <t>Existing067</t>
  </si>
  <si>
    <t>NG_CC_HR07</t>
  </si>
  <si>
    <t>Existing068</t>
  </si>
  <si>
    <t>NG_CC_HR08</t>
  </si>
  <si>
    <t>Existing069</t>
  </si>
  <si>
    <t>NG_CC_HR09</t>
  </si>
  <si>
    <t>Existing070</t>
  </si>
  <si>
    <t>NG_CC_HR10</t>
  </si>
  <si>
    <t>Existing071</t>
  </si>
  <si>
    <t>NG_CC_HR11</t>
  </si>
  <si>
    <t>Existing072</t>
  </si>
  <si>
    <t>NG_CC_HR12</t>
  </si>
  <si>
    <t>Existing073</t>
  </si>
  <si>
    <t>NG_CC_HR13</t>
  </si>
  <si>
    <t>Existing074</t>
  </si>
  <si>
    <t>NG_CC_HR14</t>
  </si>
  <si>
    <t>Existing075</t>
  </si>
  <si>
    <t>NG_CC_HR15</t>
  </si>
  <si>
    <t>Existing076</t>
  </si>
  <si>
    <t>NG_CE</t>
  </si>
  <si>
    <t>Existing077</t>
  </si>
  <si>
    <t>NG_FC_HR06</t>
  </si>
  <si>
    <t>Existing078</t>
  </si>
  <si>
    <t>NG_FC_HR07</t>
  </si>
  <si>
    <t>Existing079</t>
  </si>
  <si>
    <t>NG_FC_HR08</t>
  </si>
  <si>
    <t>Existing080</t>
  </si>
  <si>
    <t>NG_FC_HR09</t>
  </si>
  <si>
    <t>Existing081</t>
  </si>
  <si>
    <t>NG_FC_HR10</t>
  </si>
  <si>
    <t>Existing082</t>
  </si>
  <si>
    <t>NG_FC_HR11</t>
  </si>
  <si>
    <t>Existing083</t>
  </si>
  <si>
    <t>NG_FC_HR12</t>
  </si>
  <si>
    <t>Existing084</t>
  </si>
  <si>
    <t>NG_FC_HR13</t>
  </si>
  <si>
    <t>Existing085</t>
  </si>
  <si>
    <t>NG_GT_HR09</t>
  </si>
  <si>
    <t>Existing086</t>
  </si>
  <si>
    <t>NG_GT_HR10</t>
  </si>
  <si>
    <t>Existing087</t>
  </si>
  <si>
    <t>NG_GT_HR11</t>
  </si>
  <si>
    <t>Existing088</t>
  </si>
  <si>
    <t>NG_GT_HR12</t>
  </si>
  <si>
    <t>Existing089</t>
  </si>
  <si>
    <t>NG_GT_HR13</t>
  </si>
  <si>
    <t>Existing090</t>
  </si>
  <si>
    <t>NG_GT_HR14</t>
  </si>
  <si>
    <t>Existing091</t>
  </si>
  <si>
    <t>NG_GT_HR15</t>
  </si>
  <si>
    <t>Existing092</t>
  </si>
  <si>
    <t>NG_GT_HR16</t>
  </si>
  <si>
    <t>Existing093</t>
  </si>
  <si>
    <t>NG_GT_HR17</t>
  </si>
  <si>
    <t>Existing094</t>
  </si>
  <si>
    <t>NG_GT_HR18</t>
  </si>
  <si>
    <t>Existing095</t>
  </si>
  <si>
    <t>NG_IC_HR08</t>
  </si>
  <si>
    <t>Existing096</t>
  </si>
  <si>
    <t>NG_IC_HR09</t>
  </si>
  <si>
    <t>Existing097</t>
  </si>
  <si>
    <t>NG_IC_HR10</t>
  </si>
  <si>
    <t>Existing098</t>
  </si>
  <si>
    <t>NG_IC_HR11</t>
  </si>
  <si>
    <t>Existing099</t>
  </si>
  <si>
    <t>NG_IC_HR12</t>
  </si>
  <si>
    <t>Existing100</t>
  </si>
  <si>
    <t>NG_IC_HR13</t>
  </si>
  <si>
    <t>Existing101</t>
  </si>
  <si>
    <t>NG_IC_HR14</t>
  </si>
  <si>
    <t>Existing102</t>
  </si>
  <si>
    <t>NG_IC_HR15</t>
  </si>
  <si>
    <t>Existing103</t>
  </si>
  <si>
    <t>NG_IC_HR16</t>
  </si>
  <si>
    <t>Existing104</t>
  </si>
  <si>
    <t>NG_IC_HR17</t>
  </si>
  <si>
    <t>Existing105</t>
  </si>
  <si>
    <t>NG_ST_HR10</t>
  </si>
  <si>
    <t>Existing106</t>
  </si>
  <si>
    <t>NG_ST_HR11</t>
  </si>
  <si>
    <t>Existing107</t>
  </si>
  <si>
    <t>NG_ST_HR12</t>
  </si>
  <si>
    <t>Existing108</t>
  </si>
  <si>
    <t>NG_ST_HR13</t>
  </si>
  <si>
    <t>Existing109</t>
  </si>
  <si>
    <t>NG_ST_HR14</t>
  </si>
  <si>
    <t>Existing110</t>
  </si>
  <si>
    <t>NG_ST_HR15</t>
  </si>
  <si>
    <t>Existing111</t>
  </si>
  <si>
    <t>NG_ST_HR16</t>
  </si>
  <si>
    <t>Existing112</t>
  </si>
  <si>
    <t>NG_ST_HR17</t>
  </si>
  <si>
    <t>Existing113</t>
  </si>
  <si>
    <t>NG_ST_HR18</t>
  </si>
  <si>
    <t>Existing114</t>
  </si>
  <si>
    <t>NG_ST_HR19</t>
  </si>
  <si>
    <t>Existing115</t>
  </si>
  <si>
    <t>NUC_ST_multi</t>
  </si>
  <si>
    <t>Existing116</t>
  </si>
  <si>
    <t>NUC_ST_multiLF</t>
  </si>
  <si>
    <t>Existing117</t>
  </si>
  <si>
    <t>NUC_ST_single</t>
  </si>
  <si>
    <t>Existing118</t>
  </si>
  <si>
    <t>NUC_ST_singleLF</t>
  </si>
  <si>
    <t>Existing119</t>
  </si>
  <si>
    <t>OBG_FC</t>
  </si>
  <si>
    <t>OBG</t>
  </si>
  <si>
    <t>Existing120</t>
  </si>
  <si>
    <t>OBG_GT</t>
  </si>
  <si>
    <t>Existing121</t>
  </si>
  <si>
    <t>OBG_IC</t>
  </si>
  <si>
    <t>Existing122</t>
  </si>
  <si>
    <t>OBL_IC</t>
  </si>
  <si>
    <t>OBL</t>
  </si>
  <si>
    <t>Existing123</t>
  </si>
  <si>
    <t>OG_GT</t>
  </si>
  <si>
    <t>OG</t>
  </si>
  <si>
    <t>Existing124</t>
  </si>
  <si>
    <t>OG_IC</t>
  </si>
  <si>
    <t>Existing125</t>
  </si>
  <si>
    <t>OG_ST</t>
  </si>
  <si>
    <t>Existing126</t>
  </si>
  <si>
    <t>PC_ST</t>
  </si>
  <si>
    <t>PC</t>
  </si>
  <si>
    <t>Existing127</t>
  </si>
  <si>
    <t>PUR_ST</t>
  </si>
  <si>
    <t>PUR</t>
  </si>
  <si>
    <t>Existing128</t>
  </si>
  <si>
    <t>RFO_ST</t>
  </si>
  <si>
    <t>RFO</t>
  </si>
  <si>
    <t>Existing129</t>
  </si>
  <si>
    <t>SGC_CC</t>
  </si>
  <si>
    <t>Existing130</t>
  </si>
  <si>
    <t>SUB_ST_HR09</t>
  </si>
  <si>
    <t>SUB</t>
  </si>
  <si>
    <t>Existing131</t>
  </si>
  <si>
    <t>SUB_ST_HR10</t>
  </si>
  <si>
    <t>Existing132</t>
  </si>
  <si>
    <t>SUB_ST_HR11</t>
  </si>
  <si>
    <t>Existing133</t>
  </si>
  <si>
    <t>SUB_ST_HR12</t>
  </si>
  <si>
    <t>Existing134</t>
  </si>
  <si>
    <t>SUB_ST_HR13</t>
  </si>
  <si>
    <t>Existing135</t>
  </si>
  <si>
    <t>SUB_ST_HR14</t>
  </si>
  <si>
    <t>Existing136</t>
  </si>
  <si>
    <t>SUB_ST_HR15</t>
  </si>
  <si>
    <t>Existing137</t>
  </si>
  <si>
    <t>SUB_ST_HR16</t>
  </si>
  <si>
    <t>Existing138</t>
  </si>
  <si>
    <t>SUN_CP</t>
  </si>
  <si>
    <t>Existing139</t>
  </si>
  <si>
    <t>SUN_OT</t>
  </si>
  <si>
    <t>Existing140</t>
  </si>
  <si>
    <t>Existing141</t>
  </si>
  <si>
    <t>Existing142</t>
  </si>
  <si>
    <t>Existing143</t>
  </si>
  <si>
    <t>Existing144</t>
  </si>
  <si>
    <t>Existing145</t>
  </si>
  <si>
    <t>WC_ST</t>
  </si>
  <si>
    <t>WC</t>
  </si>
  <si>
    <t>Existing146</t>
  </si>
  <si>
    <t>WDS_OT</t>
  </si>
  <si>
    <t>WDS</t>
  </si>
  <si>
    <t>Existing147</t>
  </si>
  <si>
    <t>WDS_ST</t>
  </si>
  <si>
    <t>Existing148</t>
  </si>
  <si>
    <t>WH_OT</t>
  </si>
  <si>
    <t>WH</t>
  </si>
  <si>
    <t>Existing149</t>
  </si>
  <si>
    <t>WH_ST</t>
  </si>
  <si>
    <t>Existing150</t>
  </si>
  <si>
    <t>Existing151</t>
  </si>
  <si>
    <t>Existing152</t>
  </si>
  <si>
    <t>WO_CC</t>
  </si>
  <si>
    <t>WO</t>
  </si>
  <si>
    <t>Existing153</t>
  </si>
  <si>
    <t>WO_GT</t>
  </si>
  <si>
    <t>Use_predefined_expansion_data_for_OP_flag</t>
  </si>
  <si>
    <t>predefined_expansion_data_file_name_for_OP</t>
  </si>
  <si>
    <t>Use_predefined_expansion_data_for_RA_flag</t>
  </si>
  <si>
    <t>predefined_expansion_data_file_name_for_RA</t>
  </si>
  <si>
    <t>logging_level_value</t>
  </si>
  <si>
    <t>output_verbose_level</t>
  </si>
  <si>
    <t>repair_time_average_hours</t>
  </si>
  <si>
    <t>[ Capacity Accreditation Setting]</t>
  </si>
  <si>
    <t>capacity_credit_type</t>
  </si>
  <si>
    <t>capacity_credit_assessment_mode</t>
  </si>
  <si>
    <t>add_new</t>
  </si>
  <si>
    <t>capacity_credit_RA_simulation_method</t>
  </si>
  <si>
    <t>capacity_credit_reference_RA_metric</t>
  </si>
  <si>
    <t>capacity_credit_reference_RA_metric_spatial_resolution</t>
  </si>
  <si>
    <t>capacity_credit_max_iteration_value</t>
  </si>
  <si>
    <t>capacity_credit_abs_tol_value</t>
  </si>
  <si>
    <t>capacity_credit_rel_tol_value</t>
  </si>
  <si>
    <t>Network_Configuration_File_ID</t>
  </si>
  <si>
    <t>operating_reserve_modeling_option</t>
  </si>
  <si>
    <t>individual</t>
  </si>
  <si>
    <t>include_dispatch_ramping_flag</t>
  </si>
  <si>
    <t>dispatch_ramping_modeling_option</t>
  </si>
  <si>
    <t>RegRSP</t>
  </si>
  <si>
    <t>Scenario_ID</t>
  </si>
  <si>
    <t>Enabled</t>
  </si>
  <si>
    <t>Weight</t>
  </si>
  <si>
    <t>BASE</t>
  </si>
  <si>
    <t>ATB_Year</t>
  </si>
  <si>
    <t>ATB_Version</t>
  </si>
  <si>
    <t>OffShoreWind</t>
  </si>
  <si>
    <t>UtilityPV</t>
  </si>
  <si>
    <t>LandbasedWind</t>
  </si>
  <si>
    <t>DistributedWind</t>
  </si>
  <si>
    <t>CommPV</t>
  </si>
  <si>
    <t>ResPV</t>
  </si>
  <si>
    <t>NaturalGas_FE</t>
  </si>
  <si>
    <t>Coal_FE</t>
  </si>
  <si>
    <t>Coal_Retrofits</t>
  </si>
  <si>
    <t>NaturalGas_Retrofits</t>
  </si>
  <si>
    <t>Biopower - 95% CCS</t>
  </si>
  <si>
    <t>Biopower - Dedicated</t>
  </si>
  <si>
    <t>CSP - Class 2</t>
  </si>
  <si>
    <t>CSP - Class 3</t>
  </si>
  <si>
    <t>CSP - Class 8</t>
  </si>
  <si>
    <t>Coal integrated retrofit 90%-CCS</t>
  </si>
  <si>
    <t>Coal integrated retrofit 95%-CCS</t>
  </si>
  <si>
    <t>Commercial PV - Class 1</t>
  </si>
  <si>
    <t>Commercial PV - Class 10</t>
  </si>
  <si>
    <t>Commercial PV - Class 2</t>
  </si>
  <si>
    <t>Commercial PV - Class 3</t>
  </si>
  <si>
    <t>Commercial PV - Class 4</t>
  </si>
  <si>
    <t>Commercial PV - Class 5</t>
  </si>
  <si>
    <t>Commercial PV - Class 6</t>
  </si>
  <si>
    <t>Commercial PV - Class 7</t>
  </si>
  <si>
    <t>Commercial PV - Class 8</t>
  </si>
  <si>
    <t>Commercial PV - Class 9</t>
  </si>
  <si>
    <t>Commercial Battery Storage 1Hr</t>
  </si>
  <si>
    <t>Commercial Battery Storage 2Hr</t>
  </si>
  <si>
    <t>Commercial Battery Storage 4Hr</t>
  </si>
  <si>
    <t>Commercial Battery Storage 6Hr</t>
  </si>
  <si>
    <t>Commercial Battery Storage 8Hr</t>
  </si>
  <si>
    <t>Commercial DW - Class 1</t>
  </si>
  <si>
    <t>Commercial DW - Class 10</t>
  </si>
  <si>
    <t>Commercial DW - Class 2</t>
  </si>
  <si>
    <t>Commercial DW - Class 3</t>
  </si>
  <si>
    <t>Commercial DW - Class 4</t>
  </si>
  <si>
    <t>Commercial DW - Class 5</t>
  </si>
  <si>
    <t>Commercial DW - Class 6</t>
  </si>
  <si>
    <t>Commercial DW - Class 7</t>
  </si>
  <si>
    <t>Commercial DW - Class 8</t>
  </si>
  <si>
    <t>Commercial DW - Class 9</t>
  </si>
  <si>
    <t>Large DW - Class 1</t>
  </si>
  <si>
    <t>Large DW - Class 10</t>
  </si>
  <si>
    <t>Large DW - Class 2</t>
  </si>
  <si>
    <t>Large DW - Class 3</t>
  </si>
  <si>
    <t>Large DW - Class 4</t>
  </si>
  <si>
    <t>Large DW - Class 5</t>
  </si>
  <si>
    <t>Large DW - Class 6</t>
  </si>
  <si>
    <t>Large DW - Class 7</t>
  </si>
  <si>
    <t>Large DW - Class 8</t>
  </si>
  <si>
    <t>Large DW - Class 9</t>
  </si>
  <si>
    <t>Midsize DW - Class 1</t>
  </si>
  <si>
    <t>Midsize DW - Class 10</t>
  </si>
  <si>
    <t>Midsize DW - Class 2</t>
  </si>
  <si>
    <t>Midsize DW - Class 3</t>
  </si>
  <si>
    <t>Midsize DW - Class 4</t>
  </si>
  <si>
    <t>Midsize DW - Class 5</t>
  </si>
  <si>
    <t>Midsize DW - Class 6</t>
  </si>
  <si>
    <t>Midsize DW - Class 7</t>
  </si>
  <si>
    <t>Midsize DW - Class 8</t>
  </si>
  <si>
    <t>Midsize DW - Class 9</t>
  </si>
  <si>
    <t>Residential DW - Class 1</t>
  </si>
  <si>
    <t>Residential DW - Class 10</t>
  </si>
  <si>
    <t>Residential DW - Class 2</t>
  </si>
  <si>
    <t>Residential DW - Class 3</t>
  </si>
  <si>
    <t>Residential DW - Class 4</t>
  </si>
  <si>
    <t>Residential DW - Class 5</t>
  </si>
  <si>
    <t>Residential DW - Class 6</t>
  </si>
  <si>
    <t>Residential DW - Class 7</t>
  </si>
  <si>
    <t>Residential DW - Class 8</t>
  </si>
  <si>
    <t>Residential DW - Class 9</t>
  </si>
  <si>
    <t>Geothermal - Deep EGS / Binary</t>
  </si>
  <si>
    <t>Geothermal - Deep EGS / Flash</t>
  </si>
  <si>
    <t>Geothermal - Hydro / Binary</t>
  </si>
  <si>
    <t>Geothermal - Hydro / Flash</t>
  </si>
  <si>
    <t>Geothermal - NF EGS / Binary</t>
  </si>
  <si>
    <t>Geothermal - NF EGS / Flash</t>
  </si>
  <si>
    <t>Hydropower - NPD 1</t>
  </si>
  <si>
    <t>Hydropower - NPD 2</t>
  </si>
  <si>
    <t>Hydropower - NPD 3</t>
  </si>
  <si>
    <t>Hydropower - NPD 4</t>
  </si>
  <si>
    <t>Hydropower - NPD 5</t>
  </si>
  <si>
    <t>Hydropower - NPD 6</t>
  </si>
  <si>
    <t>Hydropower - NPD 7</t>
  </si>
  <si>
    <t>Hydropower - NPD 8</t>
  </si>
  <si>
    <t>Hydropower - NSD 1</t>
  </si>
  <si>
    <t>Hydropower - NSD 2</t>
  </si>
  <si>
    <t>Hydropower - NSD 3</t>
  </si>
  <si>
    <t>Hydropower - NSD 4</t>
  </si>
  <si>
    <t>Land-Based Wind - Class 1 - Technology 1</t>
  </si>
  <si>
    <t>Land-Based Wind - Class 10 - Technology 4</t>
  </si>
  <si>
    <t>Land-Based Wind - Class 2 - Technology 1</t>
  </si>
  <si>
    <t>Land-Based Wind - Class 3 - Technology 1</t>
  </si>
  <si>
    <t>Land-Based Wind - Class 4 - Technology 1</t>
  </si>
  <si>
    <t>Land-Based Wind - Class 5 - Technology 1</t>
  </si>
  <si>
    <t>Land-Based Wind - Class 6 - Technology 1</t>
  </si>
  <si>
    <t>Land-Based Wind - Class 7 - Technology 1</t>
  </si>
  <si>
    <t>Land-Based Wind - Class 8 - Technology 2</t>
  </si>
  <si>
    <t>Land-Based Wind - Class 9 - Technology 3</t>
  </si>
  <si>
    <t>NG Combined Cycle F-Class integrated retrofit 90%-CCS</t>
  </si>
  <si>
    <t>NG Combined Cycle F-Class integrated retrofit 95%-CCS</t>
  </si>
  <si>
    <t>NG Combined Cycle H-Class integrated retrofit 90%-CCS</t>
  </si>
  <si>
    <t>NG Combined Cycle H-Class integrated retrofit 95%-CCS</t>
  </si>
  <si>
    <t>Nuclear - Microreactor</t>
  </si>
  <si>
    <t>Offshore Wind - Class 1</t>
  </si>
  <si>
    <t>Offshore Wind - Class 10</t>
  </si>
  <si>
    <t>Offshore Wind - Class 11</t>
  </si>
  <si>
    <t>Offshore Wind - Class 12</t>
  </si>
  <si>
    <t>Offshore Wind - Class 13</t>
  </si>
  <si>
    <t>Offshore Wind - Class 14</t>
  </si>
  <si>
    <t>Offshore Wind - Class 2</t>
  </si>
  <si>
    <t>Offshore Wind - Class 3</t>
  </si>
  <si>
    <t>Offshore Wind - Class 4</t>
  </si>
  <si>
    <t>Offshore Wind - Class 5</t>
  </si>
  <si>
    <t>Offshore Wind - Class 6</t>
  </si>
  <si>
    <t>Offshore Wind - Class 7</t>
  </si>
  <si>
    <t>Offshore Wind - Class 8</t>
  </si>
  <si>
    <t>Offshore Wind - Class 9</t>
  </si>
  <si>
    <t>Pumped Storage Hydropower - National Class 1</t>
  </si>
  <si>
    <t>Pumped Storage Hydropower - National Class 10</t>
  </si>
  <si>
    <t>Pumped Storage Hydropower - National Class 11</t>
  </si>
  <si>
    <t>Pumped Storage Hydropower - National Class 12</t>
  </si>
  <si>
    <t>Pumped Storage Hydropower - National Class 13</t>
  </si>
  <si>
    <t>Pumped Storage Hydropower - National Class 14</t>
  </si>
  <si>
    <t>Pumped Storage Hydropower - National Class 15</t>
  </si>
  <si>
    <t>Pumped Storage Hydropower - National Class 2</t>
  </si>
  <si>
    <t>Pumped Storage Hydropower - National Class 3</t>
  </si>
  <si>
    <t>Pumped Storage Hydropower - National Class 4</t>
  </si>
  <si>
    <t>Pumped Storage Hydropower - National Class 5</t>
  </si>
  <si>
    <t>Pumped Storage Hydropower - National Class 6</t>
  </si>
  <si>
    <t>Pumped Storage Hydropower - National Class 7</t>
  </si>
  <si>
    <t>Pumped Storage Hydropower - National Class 8</t>
  </si>
  <si>
    <t>Pumped Storage Hydropower - National Class 9</t>
  </si>
  <si>
    <t>Pumped Storage Hydropower One New Reservoir - National Class 1</t>
  </si>
  <si>
    <t>Pumped Storage Hydropower One New Reservoir - National Class 2</t>
  </si>
  <si>
    <t>Pumped Storage Hydropower One New Reservoir - National Class 3</t>
  </si>
  <si>
    <t>Pumped Storage Hydropower One New Reservoir - National Class 4</t>
  </si>
  <si>
    <t>Pumped Storage Hydropower One New Reservoir - National Class 5</t>
  </si>
  <si>
    <t>Residential PV - Class 1</t>
  </si>
  <si>
    <t>Residential PV - Class 10</t>
  </si>
  <si>
    <t>Residential PV - Class 2</t>
  </si>
  <si>
    <t>Residential PV - Class 3</t>
  </si>
  <si>
    <t>Residential PV - Class 4</t>
  </si>
  <si>
    <t>Residential PV - Class 5</t>
  </si>
  <si>
    <t>Residential PV - Class 6</t>
  </si>
  <si>
    <t>Residential PV - Class 7</t>
  </si>
  <si>
    <t>Residential PV - Class 8</t>
  </si>
  <si>
    <t>Residential PV - Class 9</t>
  </si>
  <si>
    <t>Residential Battery Storage - 5 kW - 12.5 kWh</t>
  </si>
  <si>
    <t>Residential Battery Storage - 5 kW - 20 kWh</t>
  </si>
  <si>
    <t>Utility-Scale Battery Storage - 10Hr</t>
  </si>
  <si>
    <t>Utility-Scale Battery Storage - 2Hr</t>
  </si>
  <si>
    <t>Utility-Scale Battery Storage - 4Hr</t>
  </si>
  <si>
    <t>Utility-Scale Battery Storage - 6Hr</t>
  </si>
  <si>
    <t>Utility-Scale Battery Storage - 8Hr</t>
  </si>
  <si>
    <t>PV+Storage - Class 1</t>
  </si>
  <si>
    <t>PV+Storage - Class 10</t>
  </si>
  <si>
    <t>PV+Storage - Class 2</t>
  </si>
  <si>
    <t>PV+Storage - Class 3</t>
  </si>
  <si>
    <t>PV+Storage - Class 4</t>
  </si>
  <si>
    <t>PV+Storage - Class 5</t>
  </si>
  <si>
    <t>PV+Storage - Class 6</t>
  </si>
  <si>
    <t>PV+Storage - Class 7</t>
  </si>
  <si>
    <t>PV+Storage - Class 8</t>
  </si>
  <si>
    <t>PV+Storage - Class 9</t>
  </si>
  <si>
    <t>Utility PV - Class 1</t>
  </si>
  <si>
    <t>Utility PV - Class 10</t>
  </si>
  <si>
    <t>Utility PV - Class 2</t>
  </si>
  <si>
    <t>Utility PV - Class 3</t>
  </si>
  <si>
    <t>Utility PV - Class 4</t>
  </si>
  <si>
    <t>Utility PV - Class 5</t>
  </si>
  <si>
    <t>Utility PV - Class 6</t>
  </si>
  <si>
    <t>Utility PV - Class 7</t>
  </si>
  <si>
    <t>Utility PV - Class 8</t>
  </si>
  <si>
    <t>Utility PV - Class 9</t>
  </si>
  <si>
    <t>CPX_PARAM_LPMETHOD</t>
  </si>
  <si>
    <t>CPX_PARAM_THREADS</t>
  </si>
  <si>
    <t>CPLEX setting; Feasibility tolerance; Any number from 1e-9 to 1e-1; default: 1e-06.</t>
  </si>
  <si>
    <t>CPX_PARAM_EPRHS</t>
  </si>
  <si>
    <t>CPXPARAM_TimeLimit</t>
  </si>
  <si>
    <t>CPLEX setting; whether or not results are displayed on screen (0 or 1); default = 1 (display messages on screen)</t>
  </si>
  <si>
    <t>CPX_PARAM_SCRIND</t>
  </si>
  <si>
    <t>CPLEX setting; MIP node log display information (any integer from 0 to 5); more information with higher number; default = 2</t>
  </si>
  <si>
    <t>CPX_PARAM_MIPDISPLAY</t>
  </si>
  <si>
    <t>CPX_PARAM_EPGAP</t>
  </si>
  <si>
    <t>CPLEX setting; display the nondefault parameters before optimization (0 or 1); default = 1 (display)</t>
  </si>
  <si>
    <t>CPX_PARAM_PARAMDISPLAY</t>
  </si>
  <si>
    <t>solver_direct_mode_flag</t>
  </si>
  <si>
    <t>Flag</t>
  </si>
  <si>
    <t>Controls solver log output: TRUE to enable console logging.</t>
  </si>
  <si>
    <t>output_flag</t>
  </si>
  <si>
    <t>Number of threads to use for parallel processing</t>
  </si>
  <si>
    <t>threads</t>
  </si>
  <si>
    <t>Enables presolve</t>
  </si>
  <si>
    <t>on</t>
  </si>
  <si>
    <t>presolve</t>
  </si>
  <si>
    <t>Maximum solver time in seconds before termination.</t>
  </si>
  <si>
    <t>time_limit</t>
  </si>
  <si>
    <t>Gen Technology</t>
  </si>
  <si>
    <t>solver_name</t>
  </si>
  <si>
    <t>Planning Design: Load</t>
  </si>
  <si>
    <t>load_increase_rate_mode</t>
  </si>
  <si>
    <t>load_increase_rate_file_ID</t>
  </si>
  <si>
    <t>Test_RA</t>
  </si>
  <si>
    <t>Test_EXP_OP</t>
  </si>
  <si>
    <t>Test_EXP_OP_RA</t>
  </si>
  <si>
    <t>Test_EXP_RA</t>
  </si>
  <si>
    <t>ELCC</t>
  </si>
  <si>
    <t>NEUE</t>
  </si>
  <si>
    <t>export_reference_dispatch_results_flag</t>
  </si>
  <si>
    <t>min_redispatch_mc_value</t>
  </si>
  <si>
    <t>sequential_horizon_hours_value</t>
  </si>
  <si>
    <t>Aggregated_by_Tech</t>
  </si>
  <si>
    <t>min_regulation_cost_value</t>
  </si>
  <si>
    <t>regional</t>
  </si>
  <si>
    <t>method</t>
  </si>
  <si>
    <t>cuOpt LP algorithm. 1 = PDLP (GPU first-order primal-dual LP solver).</t>
  </si>
  <si>
    <t>crossover</t>
  </si>
  <si>
    <t>Whether to run crossover after PDLP. FALSE = skip; keep PDLP's interior (non-vertex) solution.</t>
  </si>
  <si>
    <t>absolute_dual_tolerance</t>
  </si>
  <si>
    <t>cuOpt PDLP: absolute tolerance on dual feasibility (optimality residual).</t>
  </si>
  <si>
    <t>relative_dual_tolerance</t>
  </si>
  <si>
    <t>cuOpt PDLP: relative tolerance on dual feasibility.</t>
  </si>
  <si>
    <t>absolute_primal_tolerance</t>
  </si>
  <si>
    <t>cuOpt PDLP: absolute tolerance on primal feasibility (constraint residual).</t>
  </si>
  <si>
    <t>relative_primal_tolerance</t>
  </si>
  <si>
    <t>cuOpt PDLP: relative tolerance on primal feasibility.</t>
  </si>
  <si>
    <t>absolute_gap_tolerance</t>
  </si>
  <si>
    <t>cuOpt PDLP: absolute tolerance on the primal-dual duality gap.</t>
  </si>
  <si>
    <t>relative_gap_tolerance</t>
  </si>
  <si>
    <t>cuOpt PDLP: relative tolerance on the duality gap.</t>
  </si>
  <si>
    <t>MadNLP uses non-direct JuMP mode; keep false (TRUE is only for CPLEX).</t>
  </si>
  <si>
    <t>kkt_system</t>
  </si>
  <si>
    <t>SparseCondensed</t>
  </si>
  <si>
    <t>tol</t>
  </si>
  <si>
    <t>Operating Reserve Options</t>
  </si>
  <si>
    <t>regulation_reserve_flag</t>
  </si>
  <si>
    <t>spinning_reserve_flag</t>
  </si>
  <si>
    <t>flexibility_reserve_flag</t>
  </si>
  <si>
    <t>nonspin_reserve_flag</t>
  </si>
  <si>
    <t>dc_tie_expansion_cost_dollar_per_MW_value</t>
  </si>
  <si>
    <t>transmission_cost_dollar_per_MW_mile_value</t>
  </si>
  <si>
    <t>[ Expansion Reporting Setting ]</t>
  </si>
  <si>
    <t>[ Operation Reporting Setting ]</t>
  </si>
  <si>
    <t>report_summary_EXP_flag</t>
  </si>
  <si>
    <t>report_dispatch_EXP_flag</t>
  </si>
  <si>
    <t>report_power_flow_EXP_flag</t>
  </si>
  <si>
    <t>report_scarcity_EXP_flag</t>
  </si>
  <si>
    <t>report_expansion_flag</t>
  </si>
  <si>
    <t>report_summary_OP_flag</t>
  </si>
  <si>
    <t>report_dispatch_OP_flag</t>
  </si>
  <si>
    <t>report_power_flow_OP_flag</t>
  </si>
  <si>
    <t>Operation tech + system summaries (per-stage &amp; annual).</t>
  </si>
  <si>
    <t>report_multi_round_summary_json_EXP_flag</t>
  </si>
  <si>
    <t>enforce_transmission_loss_flag</t>
  </si>
  <si>
    <t>B-theta</t>
  </si>
  <si>
    <t>Budget (day groups)</t>
  </si>
  <si>
    <t>Middle</t>
  </si>
  <si>
    <t>transmission_expansion_hybrid_flag</t>
  </si>
  <si>
    <t>Test_OP</t>
  </si>
  <si>
    <t>Reference</t>
  </si>
  <si>
    <t>new_NG_CC_CCS_HR07</t>
  </si>
  <si>
    <t>new_NG_CC_HR06</t>
  </si>
  <si>
    <t>new_NG_GT_HR10</t>
  </si>
  <si>
    <t>new_NUC_ST_large</t>
  </si>
  <si>
    <t>new_SUN_PV</t>
  </si>
  <si>
    <t>new_WND_WT</t>
  </si>
  <si>
    <t>new_WND_WS</t>
  </si>
  <si>
    <t>new_MWH_CE_A-CAES_100MW_10H</t>
  </si>
  <si>
    <t>new_MWH_CE_A-CAES_100MW_24H</t>
  </si>
  <si>
    <t>new_MWH_CE_A-CAES_100MW_100H</t>
  </si>
  <si>
    <t>new_MWH_ES_HESS_100MW_10H</t>
  </si>
  <si>
    <t>new_MWH_ES_HESS_100MW_24H</t>
  </si>
  <si>
    <t>new_MWH_ES_HESS_100MW_100H</t>
  </si>
  <si>
    <t>new_MWH_ES_TESS_100MW_10H</t>
  </si>
  <si>
    <t>new_MWH_ES_TESS_100MW_24H</t>
  </si>
  <si>
    <t>new_MWH_ES_TESS_100MW_100H</t>
  </si>
  <si>
    <t>new_MWH_BA_LFP_100MW_2H</t>
  </si>
  <si>
    <t>new_MWH_BA_LFP_100MW_4H</t>
  </si>
  <si>
    <t>new_MWH_BA_LFP_100MW_8H</t>
  </si>
  <si>
    <t>new_MWH_BA_LFP_100MW_10H</t>
  </si>
  <si>
    <t>new_MWH_BA_LFP_100MW_24H</t>
  </si>
  <si>
    <t>new_MWH_BA_LFP_100MW_100H</t>
  </si>
  <si>
    <t>SUN_PV</t>
  </si>
  <si>
    <t>SUN_ST</t>
  </si>
  <si>
    <t>WAT_HY_reservoir</t>
  </si>
  <si>
    <t>WAT_HY_ROR</t>
  </si>
  <si>
    <t>WAT_PS_open</t>
  </si>
  <si>
    <t>WND_WS</t>
  </si>
  <si>
    <t>WND_WT</t>
  </si>
  <si>
    <t>WIND_ONS</t>
  </si>
  <si>
    <t>WIND_OFS</t>
  </si>
  <si>
    <t>HYDRO_IMPOUNDMENT</t>
  </si>
  <si>
    <t>UNIT_REPORT_LABEL_1</t>
  </si>
  <si>
    <t>UNIT_REPORT_LABEL_2</t>
  </si>
  <si>
    <t>Hydro_Flag</t>
  </si>
  <si>
    <t>IMPOUNDMENT</t>
  </si>
  <si>
    <t>ROR</t>
  </si>
  <si>
    <t>Classification, Market and Policy</t>
  </si>
  <si>
    <t>Profile_Type</t>
  </si>
  <si>
    <t>hydro</t>
  </si>
  <si>
    <t>HighCostGas</t>
  </si>
  <si>
    <t>LowCostGas</t>
  </si>
  <si>
    <t>OptimisticGas</t>
  </si>
  <si>
    <t>HighCostVRE</t>
  </si>
  <si>
    <t>LowCostVRE</t>
  </si>
  <si>
    <t>LowCostNuclear</t>
  </si>
  <si>
    <t>new_WAT_PS_open_1000MW_10H</t>
  </si>
  <si>
    <t>new_WAT_PS_open_1000MW_24H</t>
  </si>
  <si>
    <t>new_WAT_PS_open_1000MW_100H</t>
  </si>
  <si>
    <t>Inertia_Constant</t>
  </si>
  <si>
    <t>b</t>
  </si>
  <si>
    <t>demand_reserve_provision_fraction</t>
  </si>
  <si>
    <t>repday_selection_resolution</t>
  </si>
  <si>
    <t>system</t>
  </si>
  <si>
    <t>Test-system folder name under data/ (e.g. NorthAmerica -&gt; data/NorthAmerica/...).</t>
  </si>
  <si>
    <t>Generator aggregation level. Valid: Aggregated_by_Tech (one unit per tech/bus) or Individual_Plants (each plant modeled explicitly).</t>
  </si>
  <si>
    <t>Power-flow formulation. Valid: B-theta (DC-OPF with angles) / PTDF (shift-factor flows) / Network_Flow (transport</t>
  </si>
  <si>
    <t>Hybrid DC-OPF transmission expansion: expansion increment bounded by the McCormick convex hull. Requires power_flow_mode_flag = B-theta; ignored (with a warning) otherwise.</t>
  </si>
  <si>
    <t>Run GTEP cases in parallel across nodes when available. DO NOT enable when running the RA model.</t>
  </si>
  <si>
    <t>Distribute operational (dispatch) simulations across workers.</t>
  </si>
  <si>
    <t>Expansion tech + system summaries (per-stage &amp; annual).</t>
  </si>
  <si>
    <t>Expansion dispatch + market/policy/demand-response reports.</t>
  </si>
  <si>
    <t>Expansion per-line power-flow report.</t>
  </si>
  <si>
    <t>Expansion scarcity report: energy-not-served + reserve shortfall.</t>
  </si>
  <si>
    <t>Build/retire results (generation + transmission line).</t>
  </si>
  <si>
    <t>Operation per-timestep dispatch + market/policy/demand-response.</t>
  </si>
  <si>
    <t>Operation per-line power-flow report.</t>
  </si>
  <si>
    <t>Console/log verbosity. Valid: simple or detailed (case-insensitive).</t>
  </si>
  <si>
    <t>PTDF filtering threshold: shift factors with abs value below this are dropped to sparsify the flow constraints. Only used in PTDF mode.</t>
  </si>
  <si>
    <t>Per-unit power base (MVA).</t>
  </si>
  <si>
    <t>Per-unit economic base used to scale cost coefficients for numerical conditioning.</t>
  </si>
  <si>
    <t>Save constraint names as defined (increases memory; useful for debugging/LP export).</t>
  </si>
  <si>
    <t>Export expansion model reference data as JSON.</t>
  </si>
  <si>
    <t>Export operation model reference data as JSON.</t>
  </si>
  <si>
    <t>Export the expansion model instance in .lp format.</t>
  </si>
  <si>
    <t>Export operational model instances in .lp format.</t>
  </si>
  <si>
    <t>Filename for the exported .lp model.</t>
  </si>
  <si>
    <t>Speed up MIP investment problems: solve the LP relaxation first</t>
  </si>
  <si>
    <t>Step size (+/- integer units) used when redefining the integer investment bounds.</t>
  </si>
  <si>
    <t>false -&gt; single optimization over the whole horizon; true -&gt; rolling multi-round optimization.</t>
  </si>
  <si>
    <t>Number of stages solved in each simulation round.</t>
  </si>
  <si>
    <t>Number of overlapping stages carried between consecutive rounds.</t>
  </si>
  <si>
    <t>Resume the multi-round simulation from the last completed round.</t>
  </si>
  <si>
    <t>Weighted average cost of capital (real).</t>
  </si>
  <si>
    <t>Social discount rate. Set equal to WACC because ATB FCRs are already discounted by WACC.</t>
  </si>
  <si>
    <t>Project finance factor (ATB uses 1.052).</t>
  </si>
  <si>
    <t>Interpretation of reserve cost columns. Valid: percentage (% of marginal cost) or absolute ($/MWh).</t>
  </si>
  <si>
    <t>Upper bound (multiple of existing capacity) for transmission expansion on a corridor.</t>
  </si>
  <si>
    <t>Capital recovery period (years) for transmission investments.</t>
  </si>
  <si>
    <t>Apply a flat transmission-loss adder to flows.</t>
  </si>
  <si>
    <t>Transmission loss as a percent (multiplied by 0.01 in the code). Only used when enforce_transmission_loss_flag = true.</t>
  </si>
  <si>
    <t>Apply interconnection-level inertia constraints. Ignored unless unit commitment is enabled.</t>
  </si>
  <si>
    <t>Apply raw-material annual limits (Raw Materials / Gen Technology Raw Materials sheets) in the expansion model.</t>
  </si>
  <si>
    <t>Hours per representative day (24 for hourly resolution).</t>
  </si>
  <si>
    <t>Sub-periods per hour; 1 = hourly</t>
  </si>
  <si>
    <t>Reference/baseline system carbon emissions (megaton) against which the CO2 reduction target (CERT) is applied.</t>
  </si>
  <si>
    <t>Minimum regulation-reserve cost floor [$/MWh] applied to reg-up+reg-down in the objective; 0 = disabled.</t>
  </si>
  <si>
    <t>Build a generator index that includes investment-option mapping to keep unit indexing consistent across scenarios/runs</t>
  </si>
  <si>
    <t>Expansion round ID used to select the investment state for RA execution</t>
  </si>
  <si>
    <t>Number of outage scenarios sampled per day-group</t>
  </si>
  <si>
    <t>RA simulation method (Economic Dispatch or Sequential Economic Dispatch)</t>
  </si>
  <si>
    <t>If TRUE, filter sampled outage scenarios using risk_tol_value and minimum-day-group retention rules</t>
  </si>
  <si>
    <t>Filtering threshold based on outage severity relative to available ICAP margin for each day-group</t>
  </si>
  <si>
    <t>Minimum retained outage scenarios per day-group, expressed as a fraction of num_risk_scenario</t>
  </si>
  <si>
    <t>Mean repair duration used when sampling restoration windows</t>
  </si>
  <si>
    <t>Repair-time quantile/bound used to truncate sampled repair durations</t>
  </si>
  <si>
    <t>Enable capacity-accreditation analysis after baseline RA simulation</t>
  </si>
  <si>
    <t>Capacity-accreditation method (ELCC, DLOL, or Lookup Table)</t>
  </si>
  <si>
    <t>Capacity-credit evaluation mode (add_new or deactivate_existing) for ELCC-type analysis</t>
  </si>
  <si>
    <t>RA simulation method used inside capacity-credit iterations</t>
  </si>
  <si>
    <t>Reliability metric used as accreditation target/reference (for example EUE, NEUE)</t>
  </si>
  <si>
    <t>Target metric scope used in accreditation (Systemwide or Regional)</t>
  </si>
  <si>
    <t>Maximum Newton-style update iterations for ELCC solving loop</t>
  </si>
  <si>
    <t>Absolute convergence tolerance in metric units (MWh for EUE, ppm for NEUE)</t>
  </si>
  <si>
    <t>Storage discharge policy during post-contingency dispatch (for example Optimal)</t>
  </si>
  <si>
    <t>Storage charge policy during post-contingency dispatch (for example Optimal)</t>
  </si>
  <si>
    <t>Enable distributed worker execution for RA scenario batches</t>
  </si>
  <si>
    <t>Configured batch-size cap per worker dispatch (adaptive logic may reduce effective size)</t>
  </si>
  <si>
    <t>Optional day-group whitelist for RA execution/filtering (empty list means all eligible day-groups)</t>
  </si>
  <si>
    <t>RA output detail. Valid: detailed (keeps rich internals incl. per-scenario/risk solution content) or compact (default).</t>
  </si>
  <si>
    <t>Time resolution for scenario reduction. Default Hourly; 5-minute not supported yet.</t>
  </si>
  <si>
    <t>Spatial scope for representative-day selection. Valid: system (one set system-wide) or regional (per data-region); unrecognized values fall back to in-line selection at run resolution.</t>
  </si>
  <si>
    <t>Generate the input matrices for the scenario-reduction algorithm. Default True.</t>
  </si>
  <si>
    <t>Include load shape as a clustering feature. The count of enabled input_type_* flags must equal num_data_set.</t>
  </si>
  <si>
    <t>Include load energy (MWh) as a clustering feature.</t>
  </si>
  <si>
    <t>Include wind shape as a clustering feature.</t>
  </si>
  <si>
    <t>Include wind energy (MWh) as a clustering feature.</t>
  </si>
  <si>
    <t>Include solar shape as a clustering feature.</t>
  </si>
  <si>
    <t>Include solar energy (MWh) as a clustering feature.</t>
  </si>
  <si>
    <t>Include net-load energy (MWh) as a clustering feature.</t>
  </si>
  <si>
    <t>Force the algorithm to retain extreme days. Default True.</t>
  </si>
  <si>
    <t>Force-keep the peak-demand day.</t>
  </si>
  <si>
    <t>Force-keep the peak net-demand (load - VRE) day.</t>
  </si>
  <si>
    <t>Force-keep the max-solar-generation day.</t>
  </si>
  <si>
    <t>Force-keep the max-wind-generation day.</t>
  </si>
  <si>
    <t>Force-keep the min-solar-generation day.</t>
  </si>
  <si>
    <t>Force-keep the min-wind-generation day.</t>
  </si>
  <si>
    <t>Allow the same day to appear in multiple representative-day groups. Default False.</t>
  </si>
  <si>
    <t>List of day-group IDs to force into the selection e.g. [1;2;3]; [] = none.</t>
  </si>
  <si>
    <t>JuMP attach mode. True uses direct mode - required for CPLEX.</t>
  </si>
  <si>
    <t>Relative MIP gap tolerance (0.0-1.0). Default 0.0001 (0.01%).</t>
  </si>
  <si>
    <t>Solver wall-clock time limit (seconds).</t>
  </si>
  <si>
    <t>Number of solver threads.</t>
  </si>
  <si>
    <t>LP algorithm. 0 auto / 1 primal simplex / 2 dual / 3 network / 4 barrier / 5 sifting / 6 concurrent.</t>
  </si>
  <si>
    <t>For HiGHS keep False (HiGHS uses standard non-direct JuMP mode). True is only for CPLEX.</t>
  </si>
  <si>
    <t>Solver-attach mode (NOT a solver selector; solver_name picks the solver). FALSE = standard JuMP model: the optimizer is attached here, and for cuOpt the parameters below are applied. TRUE = JuMP direct mode: the optimizer is baked in at build time, so this attach step is skipped. Use TRUE for CPLEX. cuOpt must stay FALSE, or its optimizer and parameters are never applied.</t>
  </si>
  <si>
    <t>num_decision_stages_per_round_value</t>
  </si>
  <si>
    <t>num_lookahead_stages_per_round_value</t>
  </si>
  <si>
    <t>[Rolling Horizon Simulation]</t>
  </si>
  <si>
    <t>base_year_value</t>
  </si>
  <si>
    <t>first_stage_year_value</t>
  </si>
  <si>
    <t>Calendar year of stage 1. Stage k is labelled first_stage_year + (k − 1) × num_years_per_stage.</t>
  </si>
  <si>
    <t xml:space="preserve">	Number of planning stages. Investment decisions are made once per stage.</t>
  </si>
  <si>
    <t>horizon_end_year_value</t>
  </si>
  <si>
    <t>Information only, not used by the model. Last modeled year = first_stage_year + num_stages × num_years_per_stage − 1.</t>
  </si>
  <si>
    <t>Years each stage represents. Only the first year of a stage is modeled with representative days; it is scaled to the other years.</t>
  </si>
  <si>
    <t>compact</t>
  </si>
  <si>
    <t>Write dispatch and system files for the reference (no-outage) economic dispatch of each day group and renewable scenario.</t>
  </si>
  <si>
    <t>Write dispatch and system files for each sampled outage scenario in the baseline RA run. Only scenarios above the threshold below are written.</t>
  </si>
  <si>
    <t xml:space="preserve">	Same as the baseline flag, but for the runs inside the capacity-credit (ELCC) iterations. Can produce many files.</t>
  </si>
  <si>
    <t>Minimum peak unserved energy (MW) an outage scenario must reach to have its dispatch files written. 50 → only scenarios with max ENS above 50 MW.</t>
  </si>
  <si>
    <t xml:space="preserve">	Export the multi-round expansion summary as a JSON file (GTEP_multi_round_info.json); also used to resume a run.</t>
  </si>
  <si>
    <t>calculate_capacity_credit_flag</t>
  </si>
  <si>
    <t>Relative convergence tolerance in percent (0.001 = 0.001%).</t>
  </si>
  <si>
    <t>Minimum redispatch cost, in per-unit cost, to stop free units cycling in post-contingency dispatch. $/MWh ≈ value × per_unit_econ_base_value, so 1e-05 ≈ $0.10/MWh.</t>
  </si>
  <si>
    <t>Sequential dispatch: hours solved together at each step (look-ahead window). 1 = single-hour snapshot; larger values allow charging look-ahead. Code default 6.</t>
  </si>
  <si>
    <t>All loads are multiplied by this factor (1.2 = load 20% higher than the database).</t>
  </si>
  <si>
    <t>Dollar year of all cost inputs. All costs are discounted to this year, so present values are in this year's dollars. Fuel and storage data must be converted to this year; ATB 2024: already in 2022$.</t>
  </si>
  <si>
    <t>Year the input load data represents; load growth compounds from this year. Does not  affect discounting.</t>
  </si>
  <si>
    <t>HiGHS</t>
  </si>
  <si>
    <t>Optimization solver. Default: HiGHS. Available: CPLEX / HiGHS / cuOpt / MadNLP (each configured on its own solver sheet).</t>
  </si>
  <si>
    <t>MadNLP KKT mode - set this Value to switch modes (read at solver construction). Valid: SparseCondensed (GPU default, with cuDSS), DenseCondensed, Sparse, ScaledSparse, SparseUnreduced, Dense. In GPU testing only SparseCondensed and ScaledSparse converged; the others may fail</t>
  </si>
  <si>
    <t>MadNLP convergence tolerance, read at construction</t>
  </si>
  <si>
    <t>Where per-unit parameters come from when plants are explicit. Valid: Gen Technology (use the Gen Technology sheet defaults) or Individual Plant (use plant-specific values).</t>
  </si>
  <si>
    <t>simple</t>
  </si>
  <si>
    <t>Regional_CAPAX_scaling_flag</t>
  </si>
  <si>
    <t>Energy_Storage_AET_Limit_Flag</t>
  </si>
  <si>
    <t>Locational_Scaling_Flag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</si>
</sst>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00"/>
    <numFmt numFmtId="165" formatCode="0.0"/>
    <numFmt numFmtId="166" formatCode="_(* #,##0_);_(* \(#,##0\);_(* &quot;-&quot;??_);_(@_)"/>
    <numFmt numFmtId="167" formatCode="0.00000"/>
    <numFmt numFmtId="168" formatCode="0.0000000"/>
    <numFmt numFmtId="169" formatCode="0.000000"/>
    <numFmt numFmtId="170" formatCode="0.0000"/>
  </numFmts>
  <fonts count="26" x14ac:knownFonts="1">
    <font>
      <sz val="11"/>
      <color theme="1"/>
      <name val="Calibri"/>
      <family val="2"/>
      <scheme val="minor"/>
    </font>
    <font>
      <sz val="11"/>
      <color theme="1"/>
      <name val="Calibri"/>
      <family val="2"/>
      <scheme val="minor"/>
    </font>
    <font>
      <b/>
      <sz val="11"/>
      <color theme="3"/>
      <name val="Calibri"/>
      <family val="2"/>
      <scheme val="minor"/>
    </font>
    <font>
      <sz val="11"/>
      <color theme="1"/>
      <name val="Calibri"/>
      <family val="2"/>
      <charset val="129"/>
      <scheme val="minor"/>
    </font>
    <font>
      <sz val="11"/>
      <color indexed="8"/>
      <name val="Calibri"/>
      <family val="2"/>
      <scheme val="minor"/>
    </font>
    <font>
      <b/>
      <sz val="13"/>
      <color theme="3"/>
      <name val="Calibri"/>
      <family val="2"/>
      <scheme val="minor"/>
    </font>
    <font>
      <b/>
      <sz val="11"/>
      <color rgb="FF3F3F3F"/>
      <name val="Calibri"/>
      <family val="2"/>
      <scheme val="minor"/>
    </font>
    <font>
      <sz val="8"/>
      <name val="Calibri"/>
      <family val="2"/>
      <scheme val="minor"/>
    </font>
    <font>
      <sz val="11"/>
      <color rgb="FF000000"/>
      <name val="Calibri"/>
      <family val="2"/>
      <scheme val="minor"/>
    </font>
    <font>
      <b/>
      <sz val="11"/>
      <color theme="1"/>
      <name val="Calibri"/>
      <family val="2"/>
      <scheme val="minor"/>
    </font>
    <font>
      <sz val="18"/>
      <color theme="3"/>
      <name val="Calibri Light"/>
      <family val="2"/>
      <scheme val="major"/>
    </font>
    <font>
      <b/>
      <sz val="15"/>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theme="0"/>
      <name val="Calibri"/>
      <family val="2"/>
      <scheme val="minor"/>
    </font>
    <font>
      <sz val="9"/>
      <color indexed="81"/>
      <name val="Tahoma"/>
      <family val="2"/>
    </font>
    <font>
      <b/>
      <sz val="9"/>
      <color indexed="81"/>
      <name val="Tahoma"/>
      <family val="2"/>
    </font>
    <font>
      <sz val="12"/>
      <color rgb="FF323232"/>
      <name val="Arial"/>
      <family val="2"/>
    </font>
  </fonts>
  <fills count="55">
    <fill>
      <patternFill patternType="none"/>
    </fill>
    <fill>
      <patternFill patternType="gray125"/>
    </fill>
    <fill>
      <patternFill patternType="solid">
        <fgColor theme="7" tint="0.79998168889431442"/>
        <bgColor indexed="65"/>
      </patternFill>
    </fill>
    <fill>
      <patternFill patternType="solid">
        <fgColor rgb="FFF2F2F2"/>
      </patternFill>
    </fill>
    <fill>
      <patternFill patternType="solid">
        <fgColor theme="9" tint="0.79998168889431442"/>
        <bgColor indexed="64"/>
      </patternFill>
    </fill>
    <fill>
      <patternFill patternType="solid">
        <fgColor theme="2"/>
        <bgColor indexed="64"/>
      </patternFill>
    </fill>
    <fill>
      <patternFill patternType="solid">
        <fgColor theme="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7" tint="0.79998168889431442"/>
        <bgColor rgb="FF000000"/>
      </patternFill>
    </fill>
    <fill>
      <patternFill patternType="solid">
        <fgColor theme="9"/>
        <bgColor indexed="64"/>
      </patternFill>
    </fill>
    <fill>
      <patternFill patternType="solid">
        <fgColor theme="6" tint="0.7999816888943144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3" tint="-0.249977111117893"/>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2CC"/>
        <bgColor rgb="FF000000"/>
      </patternFill>
    </fill>
    <fill>
      <patternFill patternType="solid">
        <fgColor rgb="FFFF0000"/>
        <bgColor indexed="64"/>
      </patternFill>
    </fill>
    <fill>
      <patternFill patternType="solid">
        <fgColor rgb="FFD9E1F2"/>
        <bgColor rgb="FF000000"/>
      </patternFill>
    </fill>
    <fill>
      <patternFill patternType="solid">
        <fgColor rgb="FFFFD966"/>
        <bgColor rgb="FF000000"/>
      </patternFill>
    </fill>
    <fill>
      <patternFill patternType="solid">
        <fgColor rgb="FFE2EFDA"/>
        <bgColor rgb="FF000000"/>
      </patternFill>
    </fill>
    <fill>
      <patternFill patternType="solid">
        <fgColor rgb="FFE7E6E6"/>
        <bgColor rgb="FF000000"/>
      </patternFill>
    </fill>
  </fills>
  <borders count="46">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thin">
        <color indexed="64"/>
      </left>
      <right style="thin">
        <color indexed="64"/>
      </right>
      <top style="thin">
        <color indexed="64"/>
      </top>
      <bottom/>
      <diagonal/>
    </border>
    <border>
      <left/>
      <right/>
      <top/>
      <bottom style="thick">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style="medium">
        <color theme="4" tint="0.39997558519241921"/>
      </bottom>
      <diagonal/>
    </border>
    <border>
      <left/>
      <right style="thin">
        <color theme="0"/>
      </right>
      <top/>
      <bottom style="medium">
        <color theme="4" tint="0.39997558519241921"/>
      </bottom>
      <diagonal/>
    </border>
    <border>
      <left/>
      <right style="medium">
        <color theme="1"/>
      </right>
      <top/>
      <bottom/>
      <diagonal/>
    </border>
    <border>
      <left/>
      <right style="medium">
        <color theme="1"/>
      </right>
      <top style="medium">
        <color theme="4" tint="0.39997558519241921"/>
      </top>
      <bottom style="medium">
        <color theme="4" tint="0.39997558519241921"/>
      </bottom>
      <diagonal/>
    </border>
    <border>
      <left style="medium">
        <color indexed="64"/>
      </left>
      <right/>
      <top/>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indexed="64"/>
      </top>
      <bottom style="thick">
        <color theme="1"/>
      </bottom>
      <diagonal/>
    </border>
    <border>
      <left style="thin">
        <color indexed="64"/>
      </left>
      <right style="thin">
        <color indexed="64"/>
      </right>
      <top style="thin">
        <color indexed="64"/>
      </top>
      <bottom style="thick">
        <color theme="1"/>
      </bottom>
      <diagonal/>
    </border>
    <border>
      <left/>
      <right style="thin">
        <color indexed="64"/>
      </right>
      <top/>
      <bottom style="thin">
        <color indexed="64"/>
      </bottom>
      <diagonal/>
    </border>
    <border>
      <left style="thin">
        <color theme="0"/>
      </left>
      <right style="thin">
        <color theme="0"/>
      </right>
      <top style="thin">
        <color theme="0"/>
      </top>
      <bottom/>
      <diagonal/>
    </border>
    <border>
      <left/>
      <right style="thin">
        <color indexed="64"/>
      </right>
      <top style="thin">
        <color indexed="64"/>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style="medium">
        <color indexed="64"/>
      </bottom>
      <diagonal/>
    </border>
    <border>
      <left/>
      <right style="thin">
        <color indexed="64"/>
      </right>
      <top/>
      <bottom style="medium">
        <color theme="4" tint="0.39997558519241921"/>
      </bottom>
      <diagonal/>
    </border>
    <border>
      <left/>
      <right style="thin">
        <color indexed="64"/>
      </right>
      <top/>
      <bottom/>
      <diagonal/>
    </border>
    <border>
      <left style="thin">
        <color theme="0"/>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theme="0"/>
      </left>
      <right style="thin">
        <color theme="0"/>
      </right>
      <top style="thick">
        <color theme="4" tint="0.499984740745262"/>
      </top>
      <bottom/>
      <diagonal/>
    </border>
    <border>
      <left/>
      <right/>
      <top/>
      <bottom style="medium">
        <color indexed="64"/>
      </bottom>
      <diagonal/>
    </border>
    <border>
      <left style="thin">
        <color rgb="FF7F7F7F"/>
      </left>
      <right style="thin">
        <color rgb="FF7F7F7F"/>
      </right>
      <top/>
      <bottom style="thin">
        <color rgb="FF7F7F7F"/>
      </bottom>
      <diagonal/>
    </border>
    <border>
      <left style="thin">
        <color indexed="64"/>
      </left>
      <right style="thin">
        <color indexed="64"/>
      </right>
      <top/>
      <bottom/>
      <diagonal/>
    </border>
    <border>
      <left/>
      <right style="medium">
        <color rgb="FF000000"/>
      </right>
      <top/>
      <bottom/>
      <diagonal/>
    </border>
    <border>
      <left/>
      <right style="medium">
        <color rgb="FF000000"/>
      </right>
      <top/>
      <bottom style="medium">
        <color indexed="64"/>
      </bottom>
      <diagonal/>
    </border>
    <border>
      <left style="medium">
        <color theme="1"/>
      </left>
      <right/>
      <top/>
      <bottom/>
      <diagonal/>
    </border>
    <border>
      <left style="medium">
        <color rgb="FF000000"/>
      </left>
      <right/>
      <top/>
      <bottom/>
      <diagonal/>
    </border>
  </borders>
  <cellStyleXfs count="49">
    <xf numFmtId="0" fontId="0" fillId="0" borderId="0"/>
    <xf numFmtId="0" fontId="2" fillId="0" borderId="1" applyNumberFormat="0" applyFill="0" applyAlignment="0" applyProtection="0"/>
    <xf numFmtId="0" fontId="1" fillId="2" borderId="0" applyNumberFormat="0" applyBorder="0" applyAlignment="0" applyProtection="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0" fontId="1" fillId="0" borderId="0"/>
    <xf numFmtId="0" fontId="4" fillId="0" borderId="0"/>
    <xf numFmtId="0" fontId="5" fillId="0" borderId="3" applyNumberFormat="0" applyFill="0" applyAlignment="0" applyProtection="0"/>
    <xf numFmtId="0" fontId="6" fillId="3" borderId="5" applyNumberFormat="0" applyAlignment="0" applyProtection="0"/>
    <xf numFmtId="43" fontId="1" fillId="0" borderId="0" applyFont="0" applyFill="0" applyBorder="0" applyAlignment="0" applyProtection="0"/>
    <xf numFmtId="0" fontId="10" fillId="0" borderId="0" applyNumberFormat="0" applyFill="0" applyBorder="0" applyAlignment="0" applyProtection="0"/>
    <xf numFmtId="0" fontId="11" fillId="0" borderId="9" applyNumberFormat="0" applyFill="0" applyAlignment="0" applyProtection="0"/>
    <xf numFmtId="0" fontId="2" fillId="0" borderId="0" applyNumberFormat="0" applyFill="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5" fillId="16" borderId="4" applyNumberFormat="0" applyAlignment="0" applyProtection="0"/>
    <xf numFmtId="0" fontId="16" fillId="3" borderId="4" applyNumberFormat="0" applyAlignment="0" applyProtection="0"/>
    <xf numFmtId="0" fontId="17" fillId="0" borderId="10" applyNumberFormat="0" applyFill="0" applyAlignment="0" applyProtection="0"/>
    <xf numFmtId="0" fontId="18" fillId="17" borderId="11" applyNumberFormat="0" applyAlignment="0" applyProtection="0"/>
    <xf numFmtId="0" fontId="19" fillId="0" borderId="0" applyNumberFormat="0" applyFill="0" applyBorder="0" applyAlignment="0" applyProtection="0"/>
    <xf numFmtId="0" fontId="1" fillId="18" borderId="12" applyNumberFormat="0" applyFont="0" applyAlignment="0" applyProtection="0"/>
    <xf numFmtId="0" fontId="20" fillId="0" borderId="0" applyNumberFormat="0" applyFill="0" applyBorder="0" applyAlignment="0" applyProtection="0"/>
    <xf numFmtId="0" fontId="9" fillId="0" borderId="13" applyNumberFormat="0" applyFill="0" applyAlignment="0" applyProtection="0"/>
    <xf numFmtId="0" fontId="2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cellStyleXfs>
  <cellXfs count="200">
    <xf numFmtId="0" fontId="0" fillId="0" borderId="0" xfId="0"/>
    <xf numFmtId="0" fontId="5" fillId="0" borderId="3" xfId="9" applyFill="1" applyAlignment="1">
      <alignment horizontal="center" vertical="center"/>
    </xf>
    <xf numFmtId="0" fontId="5" fillId="0" borderId="3" xfId="9" applyFill="1" applyAlignment="1">
      <alignment horizontal="center"/>
    </xf>
    <xf numFmtId="0" fontId="1" fillId="2" borderId="4" xfId="2" applyBorder="1"/>
    <xf numFmtId="0" fontId="6" fillId="3" borderId="6" xfId="10" applyBorder="1" applyAlignment="1">
      <alignment horizontal="left"/>
    </xf>
    <xf numFmtId="0" fontId="6" fillId="3" borderId="2" xfId="10" applyBorder="1" applyAlignment="1">
      <alignment horizontal="left"/>
    </xf>
    <xf numFmtId="0" fontId="0" fillId="2" borderId="2" xfId="2" applyFont="1" applyBorder="1"/>
    <xf numFmtId="0" fontId="0" fillId="2" borderId="7" xfId="2" applyFont="1" applyBorder="1"/>
    <xf numFmtId="0" fontId="6" fillId="3" borderId="5" xfId="10" applyAlignment="1">
      <alignment horizontal="right"/>
    </xf>
    <xf numFmtId="0" fontId="0" fillId="2" borderId="4" xfId="2" applyFont="1" applyBorder="1"/>
    <xf numFmtId="0" fontId="6" fillId="3" borderId="2" xfId="10" applyBorder="1" applyAlignment="1">
      <alignment horizontal="right"/>
    </xf>
    <xf numFmtId="0" fontId="2" fillId="0" borderId="1" xfId="1" applyAlignment="1">
      <alignment horizontal="center" wrapText="1"/>
    </xf>
    <xf numFmtId="0" fontId="0" fillId="0" borderId="0" xfId="0" applyAlignment="1">
      <alignment wrapText="1"/>
    </xf>
    <xf numFmtId="0" fontId="0" fillId="0" borderId="0" xfId="0" applyAlignment="1">
      <alignment horizontal="left" indent="1"/>
    </xf>
    <xf numFmtId="1" fontId="1" fillId="5" borderId="2" xfId="2" applyNumberFormat="1" applyFill="1" applyBorder="1" applyAlignment="1">
      <alignment horizontal="center"/>
    </xf>
    <xf numFmtId="0" fontId="1" fillId="5" borderId="2" xfId="2" applyFill="1" applyBorder="1" applyAlignment="1">
      <alignment horizontal="center"/>
    </xf>
    <xf numFmtId="1" fontId="1" fillId="6" borderId="2" xfId="2" applyNumberFormat="1" applyFill="1" applyBorder="1" applyAlignment="1">
      <alignment horizontal="center"/>
    </xf>
    <xf numFmtId="0" fontId="0" fillId="7" borderId="0" xfId="0" applyFill="1"/>
    <xf numFmtId="0" fontId="0" fillId="7" borderId="0" xfId="2" applyFont="1" applyFill="1" applyAlignment="1">
      <alignment horizontal="center"/>
    </xf>
    <xf numFmtId="0" fontId="0" fillId="7" borderId="0" xfId="0" applyFill="1" applyAlignment="1">
      <alignment horizontal="center" vertical="center"/>
    </xf>
    <xf numFmtId="0" fontId="2" fillId="8" borderId="1" xfId="1" applyFill="1" applyAlignment="1">
      <alignment horizontal="center" wrapText="1"/>
    </xf>
    <xf numFmtId="0" fontId="2" fillId="9" borderId="1" xfId="1" applyFill="1" applyAlignment="1">
      <alignment horizontal="center" wrapText="1"/>
    </xf>
    <xf numFmtId="0" fontId="0" fillId="9" borderId="0" xfId="0" applyFill="1"/>
    <xf numFmtId="0" fontId="2" fillId="9" borderId="0" xfId="1" applyFill="1" applyBorder="1" applyAlignment="1">
      <alignment horizontal="center" wrapText="1"/>
    </xf>
    <xf numFmtId="0" fontId="0" fillId="7" borderId="2" xfId="2" applyFont="1" applyFill="1" applyBorder="1" applyAlignment="1">
      <alignment horizontal="center"/>
    </xf>
    <xf numFmtId="0" fontId="0" fillId="7" borderId="2" xfId="0" applyFill="1" applyBorder="1"/>
    <xf numFmtId="0" fontId="0" fillId="8" borderId="2" xfId="0" applyFill="1" applyBorder="1"/>
    <xf numFmtId="0" fontId="0" fillId="7" borderId="8" xfId="0" applyFill="1" applyBorder="1"/>
    <xf numFmtId="0" fontId="0" fillId="8" borderId="8" xfId="0" applyFill="1" applyBorder="1"/>
    <xf numFmtId="0" fontId="1" fillId="7" borderId="0" xfId="2" applyFill="1" applyAlignment="1">
      <alignment horizontal="center" vertical="center"/>
    </xf>
    <xf numFmtId="2" fontId="1" fillId="7" borderId="0" xfId="2" applyNumberFormat="1" applyFill="1" applyAlignment="1">
      <alignment horizontal="center" vertical="center"/>
    </xf>
    <xf numFmtId="164" fontId="1" fillId="7" borderId="0" xfId="2" applyNumberFormat="1" applyFill="1" applyAlignment="1">
      <alignment horizontal="center" vertical="center"/>
    </xf>
    <xf numFmtId="166" fontId="0" fillId="7" borderId="2" xfId="11" applyNumberFormat="1" applyFont="1" applyFill="1" applyBorder="1"/>
    <xf numFmtId="166" fontId="0" fillId="7" borderId="8" xfId="11" applyNumberFormat="1" applyFont="1" applyFill="1" applyBorder="1"/>
    <xf numFmtId="0" fontId="9" fillId="9" borderId="0" xfId="0" applyFont="1" applyFill="1"/>
    <xf numFmtId="0" fontId="6" fillId="3" borderId="0" xfId="10" applyBorder="1" applyAlignment="1">
      <alignment horizontal="right"/>
    </xf>
    <xf numFmtId="0" fontId="0" fillId="5" borderId="2" xfId="2" applyFont="1" applyFill="1" applyBorder="1" applyAlignment="1">
      <alignment horizontal="center"/>
    </xf>
    <xf numFmtId="0" fontId="1" fillId="5" borderId="0" xfId="2" applyFill="1" applyAlignment="1">
      <alignment horizontal="center" vertical="center"/>
    </xf>
    <xf numFmtId="0" fontId="2" fillId="0" borderId="1" xfId="1" applyFill="1" applyAlignment="1">
      <alignment wrapText="1"/>
    </xf>
    <xf numFmtId="0" fontId="8" fillId="10" borderId="0" xfId="0" applyFont="1" applyFill="1"/>
    <xf numFmtId="0" fontId="8" fillId="10" borderId="0" xfId="0" applyFont="1" applyFill="1" applyAlignment="1">
      <alignment horizontal="center"/>
    </xf>
    <xf numFmtId="1" fontId="0" fillId="5" borderId="2" xfId="2" applyNumberFormat="1" applyFont="1" applyFill="1" applyBorder="1" applyAlignment="1">
      <alignment horizontal="center"/>
    </xf>
    <xf numFmtId="165" fontId="0" fillId="7" borderId="2" xfId="0" applyNumberFormat="1" applyFill="1" applyBorder="1"/>
    <xf numFmtId="165" fontId="0" fillId="7" borderId="8" xfId="0" applyNumberFormat="1" applyFill="1" applyBorder="1"/>
    <xf numFmtId="0" fontId="2" fillId="0" borderId="1" xfId="1" applyFill="1" applyAlignment="1">
      <alignment horizontal="center" wrapText="1"/>
    </xf>
    <xf numFmtId="0" fontId="0" fillId="0" borderId="0" xfId="0" applyAlignment="1">
      <alignment horizontal="left"/>
    </xf>
    <xf numFmtId="0" fontId="9" fillId="0" borderId="14" xfId="0" applyFont="1" applyBorder="1" applyAlignment="1">
      <alignment horizontal="left"/>
    </xf>
    <xf numFmtId="0" fontId="5" fillId="0" borderId="3" xfId="9" applyFill="1" applyAlignment="1">
      <alignment horizontal="center" vertical="center" wrapText="1"/>
    </xf>
    <xf numFmtId="0" fontId="0" fillId="0" borderId="0" xfId="0" applyAlignment="1">
      <alignment horizontal="left" wrapText="1"/>
    </xf>
    <xf numFmtId="0" fontId="8" fillId="10" borderId="0" xfId="0" applyFont="1" applyFill="1" applyAlignment="1">
      <alignment horizontal="left"/>
    </xf>
    <xf numFmtId="0" fontId="18" fillId="42" borderId="16" xfId="10" applyFont="1" applyFill="1" applyBorder="1" applyAlignment="1">
      <alignment horizontal="right"/>
    </xf>
    <xf numFmtId="0" fontId="21" fillId="42" borderId="17" xfId="2" applyFont="1" applyFill="1" applyBorder="1"/>
    <xf numFmtId="0" fontId="21" fillId="42" borderId="18" xfId="2" applyFont="1" applyFill="1" applyBorder="1" applyAlignment="1">
      <alignment horizontal="center"/>
    </xf>
    <xf numFmtId="164" fontId="1" fillId="5" borderId="0" xfId="2" applyNumberFormat="1" applyFill="1" applyAlignment="1">
      <alignment horizontal="center" vertical="center"/>
    </xf>
    <xf numFmtId="0" fontId="1" fillId="11" borderId="4" xfId="2" applyFill="1" applyBorder="1" applyAlignment="1">
      <alignment horizontal="center"/>
    </xf>
    <xf numFmtId="0" fontId="0" fillId="0" borderId="0" xfId="0" applyAlignment="1">
      <alignment vertical="center" wrapText="1"/>
    </xf>
    <xf numFmtId="0" fontId="1" fillId="7" borderId="4" xfId="2" applyFill="1" applyBorder="1" applyAlignment="1">
      <alignment horizontal="center"/>
    </xf>
    <xf numFmtId="1" fontId="1" fillId="7" borderId="4" xfId="2" applyNumberFormat="1" applyFill="1" applyBorder="1" applyAlignment="1">
      <alignment horizontal="center"/>
    </xf>
    <xf numFmtId="165" fontId="1" fillId="7" borderId="2" xfId="2" applyNumberFormat="1" applyFill="1" applyBorder="1" applyAlignment="1">
      <alignment horizontal="center"/>
    </xf>
    <xf numFmtId="0" fontId="1" fillId="7" borderId="2" xfId="2" applyFill="1" applyBorder="1" applyAlignment="1">
      <alignment horizontal="center" vertical="center"/>
    </xf>
    <xf numFmtId="11" fontId="1" fillId="7" borderId="8" xfId="2" applyNumberFormat="1" applyFill="1" applyBorder="1" applyAlignment="1">
      <alignment horizontal="center"/>
    </xf>
    <xf numFmtId="0" fontId="0" fillId="4" borderId="0" xfId="0" applyFill="1"/>
    <xf numFmtId="0" fontId="1" fillId="7" borderId="21" xfId="2" applyFill="1" applyBorder="1" applyAlignment="1">
      <alignment horizontal="center" vertical="center"/>
    </xf>
    <xf numFmtId="0" fontId="0" fillId="7" borderId="21" xfId="0" applyFill="1" applyBorder="1"/>
    <xf numFmtId="0" fontId="2" fillId="0" borderId="22" xfId="1" applyFill="1" applyBorder="1" applyAlignment="1">
      <alignment horizontal="center" wrapText="1"/>
    </xf>
    <xf numFmtId="0" fontId="0" fillId="7" borderId="21" xfId="0" applyFill="1" applyBorder="1" applyAlignment="1">
      <alignment horizontal="center" vertical="center"/>
    </xf>
    <xf numFmtId="0" fontId="1" fillId="5" borderId="2" xfId="2" applyFill="1" applyBorder="1" applyAlignment="1">
      <alignment horizontal="center" vertical="center"/>
    </xf>
    <xf numFmtId="0" fontId="22" fillId="42" borderId="19" xfId="1" applyFont="1" applyFill="1" applyBorder="1" applyAlignment="1">
      <alignment horizontal="center" vertical="center" wrapText="1"/>
    </xf>
    <xf numFmtId="1" fontId="0" fillId="7" borderId="15" xfId="11" applyNumberFormat="1" applyFont="1" applyFill="1" applyBorder="1" applyAlignment="1">
      <alignment horizontal="center"/>
    </xf>
    <xf numFmtId="0" fontId="1" fillId="7" borderId="23" xfId="2" applyFill="1" applyBorder="1" applyAlignment="1">
      <alignment horizontal="center" vertical="center"/>
    </xf>
    <xf numFmtId="2" fontId="1" fillId="7" borderId="21" xfId="2" applyNumberFormat="1" applyFill="1" applyBorder="1" applyAlignment="1">
      <alignment horizontal="center" vertical="center"/>
    </xf>
    <xf numFmtId="167" fontId="0" fillId="7" borderId="0" xfId="0" applyNumberFormat="1" applyFill="1" applyAlignment="1">
      <alignment horizontal="center" vertical="center"/>
    </xf>
    <xf numFmtId="164" fontId="1" fillId="7" borderId="21" xfId="2" applyNumberFormat="1" applyFill="1" applyBorder="1" applyAlignment="1">
      <alignment horizontal="center" vertical="center"/>
    </xf>
    <xf numFmtId="2" fontId="0" fillId="7" borderId="2" xfId="2" applyNumberFormat="1" applyFont="1" applyFill="1" applyBorder="1" applyAlignment="1">
      <alignment horizontal="center"/>
    </xf>
    <xf numFmtId="168" fontId="1" fillId="7" borderId="21" xfId="2" applyNumberFormat="1" applyFill="1" applyBorder="1" applyAlignment="1">
      <alignment horizontal="center" vertical="center"/>
    </xf>
    <xf numFmtId="165" fontId="1" fillId="7" borderId="0" xfId="2" applyNumberFormat="1" applyFill="1" applyAlignment="1">
      <alignment horizontal="center" vertical="center"/>
    </xf>
    <xf numFmtId="0" fontId="18" fillId="42" borderId="16" xfId="10" applyFont="1" applyFill="1" applyBorder="1" applyAlignment="1">
      <alignment horizontal="right" wrapText="1"/>
    </xf>
    <xf numFmtId="0" fontId="21" fillId="42" borderId="17" xfId="2" applyFont="1" applyFill="1" applyBorder="1" applyAlignment="1">
      <alignment wrapText="1"/>
    </xf>
    <xf numFmtId="0" fontId="6" fillId="3" borderId="2" xfId="10" applyBorder="1" applyAlignment="1">
      <alignment horizontal="right" wrapText="1"/>
    </xf>
    <xf numFmtId="0" fontId="1" fillId="7" borderId="2" xfId="2" applyFill="1" applyBorder="1" applyAlignment="1">
      <alignment horizontal="center" vertical="center" wrapText="1"/>
    </xf>
    <xf numFmtId="0" fontId="0" fillId="2" borderId="2" xfId="2" applyFont="1" applyBorder="1" applyAlignment="1">
      <alignment wrapText="1"/>
    </xf>
    <xf numFmtId="0" fontId="21" fillId="42" borderId="18" xfId="2" applyFont="1" applyFill="1" applyBorder="1" applyAlignment="1">
      <alignment horizontal="center" vertical="center" wrapText="1"/>
    </xf>
    <xf numFmtId="1" fontId="0" fillId="7" borderId="15" xfId="11" applyNumberFormat="1" applyFont="1" applyFill="1" applyBorder="1" applyAlignment="1">
      <alignment horizontal="center" vertical="center" wrapText="1"/>
    </xf>
    <xf numFmtId="1" fontId="1" fillId="7" borderId="4" xfId="2" applyNumberFormat="1" applyFill="1" applyBorder="1" applyAlignment="1">
      <alignment horizontal="center" vertical="center" wrapText="1"/>
    </xf>
    <xf numFmtId="0" fontId="1" fillId="2" borderId="4" xfId="2" applyBorder="1" applyAlignment="1">
      <alignment wrapText="1"/>
    </xf>
    <xf numFmtId="0" fontId="0" fillId="2" borderId="4" xfId="2" applyFont="1" applyBorder="1" applyAlignment="1">
      <alignment wrapText="1"/>
    </xf>
    <xf numFmtId="0" fontId="6" fillId="3" borderId="16" xfId="10" applyBorder="1" applyAlignment="1">
      <alignment horizontal="right" wrapText="1"/>
    </xf>
    <xf numFmtId="11" fontId="1" fillId="7" borderId="8" xfId="2" applyNumberFormat="1" applyFill="1" applyBorder="1" applyAlignment="1">
      <alignment horizontal="center" vertical="center" wrapText="1"/>
    </xf>
    <xf numFmtId="165" fontId="0" fillId="7" borderId="15" xfId="11" applyNumberFormat="1" applyFont="1" applyFill="1" applyBorder="1" applyAlignment="1">
      <alignment horizontal="center" vertical="center" wrapText="1"/>
    </xf>
    <xf numFmtId="169" fontId="1" fillId="7" borderId="4" xfId="2" applyNumberFormat="1" applyFill="1" applyBorder="1" applyAlignment="1">
      <alignment horizontal="center" vertical="center" wrapText="1"/>
    </xf>
    <xf numFmtId="0" fontId="9" fillId="5" borderId="17" xfId="1" applyFont="1" applyFill="1" applyBorder="1" applyAlignment="1">
      <alignment horizontal="left" vertical="center" wrapText="1"/>
    </xf>
    <xf numFmtId="0" fontId="9" fillId="5" borderId="25" xfId="1" applyFont="1" applyFill="1" applyBorder="1" applyAlignment="1">
      <alignment horizontal="left" vertical="center" wrapText="1"/>
    </xf>
    <xf numFmtId="0" fontId="8" fillId="10" borderId="26" xfId="0" applyFont="1" applyFill="1" applyBorder="1" applyAlignment="1">
      <alignment horizontal="center" vertical="center"/>
    </xf>
    <xf numFmtId="0" fontId="9" fillId="5" borderId="27" xfId="1" applyFont="1" applyFill="1" applyBorder="1" applyAlignment="1">
      <alignment horizontal="left" vertical="center" wrapText="1"/>
    </xf>
    <xf numFmtId="0" fontId="8" fillId="10" borderId="15" xfId="0" applyFont="1" applyFill="1" applyBorder="1" applyAlignment="1">
      <alignment horizontal="center" vertical="center"/>
    </xf>
    <xf numFmtId="0" fontId="8" fillId="10" borderId="2" xfId="0" applyFont="1" applyFill="1" applyBorder="1" applyAlignment="1">
      <alignment horizontal="center" vertical="center"/>
    </xf>
    <xf numFmtId="0" fontId="1" fillId="7" borderId="15" xfId="2" applyFill="1" applyBorder="1" applyAlignment="1">
      <alignment horizontal="center" vertical="center"/>
    </xf>
    <xf numFmtId="0" fontId="1" fillId="7" borderId="26" xfId="2" applyFill="1" applyBorder="1" applyAlignment="1">
      <alignment horizontal="center" vertical="center"/>
    </xf>
    <xf numFmtId="9" fontId="1" fillId="7" borderId="2" xfId="2" applyNumberFormat="1" applyFill="1" applyBorder="1" applyAlignment="1">
      <alignment horizontal="center" vertical="center"/>
    </xf>
    <xf numFmtId="0" fontId="0" fillId="7" borderId="26" xfId="0" applyFill="1" applyBorder="1" applyAlignment="1">
      <alignment horizontal="center" vertical="center"/>
    </xf>
    <xf numFmtId="0" fontId="8" fillId="12" borderId="2" xfId="0" applyFont="1" applyFill="1" applyBorder="1" applyAlignment="1">
      <alignment horizontal="center" vertical="center"/>
    </xf>
    <xf numFmtId="0" fontId="8" fillId="12" borderId="26" xfId="0" applyFont="1" applyFill="1" applyBorder="1" applyAlignment="1">
      <alignment horizontal="center" vertical="center"/>
    </xf>
    <xf numFmtId="0" fontId="2" fillId="5" borderId="1" xfId="1" applyFill="1" applyAlignment="1">
      <alignment horizontal="center" wrapText="1"/>
    </xf>
    <xf numFmtId="0" fontId="0" fillId="4" borderId="2" xfId="0" applyFill="1" applyBorder="1" applyAlignment="1">
      <alignment horizontal="center"/>
    </xf>
    <xf numFmtId="2" fontId="0" fillId="6" borderId="2" xfId="0" applyNumberFormat="1" applyFill="1" applyBorder="1"/>
    <xf numFmtId="0" fontId="9" fillId="5" borderId="29" xfId="1" applyFont="1" applyFill="1" applyBorder="1" applyAlignment="1">
      <alignment horizontal="left" vertical="center" wrapText="1"/>
    </xf>
    <xf numFmtId="2" fontId="0" fillId="6" borderId="8" xfId="0" applyNumberFormat="1" applyFill="1" applyBorder="1"/>
    <xf numFmtId="0" fontId="0" fillId="4" borderId="15" xfId="0" applyFill="1" applyBorder="1" applyAlignment="1">
      <alignment horizontal="center"/>
    </xf>
    <xf numFmtId="2" fontId="1" fillId="7" borderId="7" xfId="2" applyNumberFormat="1" applyFill="1" applyBorder="1" applyAlignment="1">
      <alignment horizontal="center" vertical="center" wrapText="1"/>
    </xf>
    <xf numFmtId="2" fontId="1" fillId="7" borderId="2" xfId="2" applyNumberFormat="1" applyFill="1" applyBorder="1" applyAlignment="1">
      <alignment horizontal="center" vertical="center" wrapText="1"/>
    </xf>
    <xf numFmtId="0" fontId="0" fillId="2" borderId="32" xfId="2" applyFont="1" applyBorder="1" applyAlignment="1">
      <alignment wrapText="1"/>
    </xf>
    <xf numFmtId="0" fontId="0" fillId="45" borderId="2" xfId="0" applyFill="1" applyBorder="1"/>
    <xf numFmtId="0" fontId="0" fillId="45" borderId="33" xfId="0" applyFill="1" applyBorder="1"/>
    <xf numFmtId="0" fontId="2" fillId="0" borderId="34" xfId="1" applyBorder="1" applyAlignment="1">
      <alignment horizontal="center" wrapText="1"/>
    </xf>
    <xf numFmtId="0" fontId="0" fillId="4" borderId="8" xfId="0" applyFill="1" applyBorder="1" applyAlignment="1">
      <alignment horizontal="center"/>
    </xf>
    <xf numFmtId="0" fontId="0" fillId="4" borderId="33" xfId="0" applyFill="1" applyBorder="1" applyAlignment="1">
      <alignment horizontal="center"/>
    </xf>
    <xf numFmtId="0" fontId="0" fillId="7" borderId="33" xfId="0" applyFill="1" applyBorder="1"/>
    <xf numFmtId="0" fontId="0" fillId="8" borderId="33" xfId="0" applyFill="1" applyBorder="1"/>
    <xf numFmtId="166" fontId="0" fillId="7" borderId="33" xfId="11" applyNumberFormat="1" applyFont="1" applyFill="1" applyBorder="1"/>
    <xf numFmtId="2" fontId="0" fillId="6" borderId="33" xfId="0" applyNumberFormat="1" applyFill="1" applyBorder="1"/>
    <xf numFmtId="165" fontId="0" fillId="7" borderId="33" xfId="0" applyNumberFormat="1" applyFill="1" applyBorder="1"/>
    <xf numFmtId="0" fontId="2" fillId="46" borderId="1" xfId="1" applyFill="1" applyAlignment="1">
      <alignment horizontal="center" wrapText="1"/>
    </xf>
    <xf numFmtId="164" fontId="0" fillId="7" borderId="2" xfId="2" applyNumberFormat="1" applyFont="1" applyFill="1" applyBorder="1" applyAlignment="1">
      <alignment horizontal="center"/>
    </xf>
    <xf numFmtId="0" fontId="9" fillId="5" borderId="36" xfId="1" applyFont="1" applyFill="1" applyBorder="1" applyAlignment="1">
      <alignment horizontal="left" vertical="center" wrapText="1"/>
    </xf>
    <xf numFmtId="0" fontId="8" fillId="10" borderId="37" xfId="0" applyFont="1" applyFill="1" applyBorder="1" applyAlignment="1">
      <alignment horizontal="center" vertical="center"/>
    </xf>
    <xf numFmtId="0" fontId="18" fillId="42" borderId="0" xfId="0" applyFont="1" applyFill="1" applyAlignment="1">
      <alignment horizontal="center" vertical="center"/>
    </xf>
    <xf numFmtId="11" fontId="0" fillId="46" borderId="15" xfId="2" applyNumberFormat="1" applyFont="1" applyFill="1" applyBorder="1" applyAlignment="1">
      <alignment horizontal="center"/>
    </xf>
    <xf numFmtId="0" fontId="9" fillId="5" borderId="35" xfId="1" applyFont="1" applyFill="1" applyBorder="1" applyAlignment="1">
      <alignment horizontal="left" vertical="center" wrapText="1"/>
    </xf>
    <xf numFmtId="9" fontId="8" fillId="10" borderId="26" xfId="0" applyNumberFormat="1" applyFont="1" applyFill="1" applyBorder="1" applyAlignment="1">
      <alignment horizontal="center" vertical="center"/>
    </xf>
    <xf numFmtId="1" fontId="1" fillId="8" borderId="2" xfId="2" applyNumberFormat="1" applyFill="1" applyBorder="1" applyAlignment="1">
      <alignment horizontal="center"/>
    </xf>
    <xf numFmtId="0" fontId="1" fillId="47" borderId="0" xfId="2" applyFill="1" applyAlignment="1">
      <alignment horizontal="center" vertical="center"/>
    </xf>
    <xf numFmtId="165" fontId="8" fillId="10" borderId="15" xfId="0" applyNumberFormat="1" applyFont="1" applyFill="1" applyBorder="1" applyAlignment="1">
      <alignment horizontal="center" vertical="center"/>
    </xf>
    <xf numFmtId="0" fontId="8" fillId="10" borderId="8" xfId="0" applyFont="1" applyFill="1" applyBorder="1" applyAlignment="1">
      <alignment horizontal="center" vertical="center"/>
    </xf>
    <xf numFmtId="0" fontId="0" fillId="47" borderId="0" xfId="0" applyFill="1"/>
    <xf numFmtId="2" fontId="1" fillId="47" borderId="0" xfId="2" applyNumberFormat="1" applyFill="1" applyAlignment="1">
      <alignment horizontal="center" vertical="center"/>
    </xf>
    <xf numFmtId="164" fontId="1" fillId="47" borderId="0" xfId="2" applyNumberFormat="1" applyFill="1" applyAlignment="1">
      <alignment horizontal="center" vertical="center"/>
    </xf>
    <xf numFmtId="0" fontId="0" fillId="47" borderId="0" xfId="0" applyFill="1" applyAlignment="1">
      <alignment horizontal="center" vertical="center"/>
    </xf>
    <xf numFmtId="1" fontId="1" fillId="7" borderId="7" xfId="2" applyNumberFormat="1" applyFill="1" applyBorder="1" applyAlignment="1">
      <alignment horizontal="center" vertical="center" wrapText="1"/>
    </xf>
    <xf numFmtId="1" fontId="1" fillId="7" borderId="40" xfId="2" applyNumberFormat="1" applyFill="1" applyBorder="1" applyAlignment="1">
      <alignment horizontal="center" vertical="center" wrapText="1"/>
    </xf>
    <xf numFmtId="2" fontId="1" fillId="7" borderId="4" xfId="2" applyNumberFormat="1" applyFill="1" applyBorder="1" applyAlignment="1">
      <alignment horizontal="center" vertical="center" wrapText="1"/>
    </xf>
    <xf numFmtId="0" fontId="6" fillId="7" borderId="6" xfId="10" applyFill="1" applyBorder="1" applyAlignment="1">
      <alignment horizontal="center"/>
    </xf>
    <xf numFmtId="0" fontId="0" fillId="2" borderId="7" xfId="2" applyFont="1" applyBorder="1" applyAlignment="1">
      <alignment horizontal="center"/>
    </xf>
    <xf numFmtId="0" fontId="2" fillId="0" borderId="1" xfId="1" applyAlignment="1">
      <alignment wrapText="1"/>
    </xf>
    <xf numFmtId="0" fontId="8" fillId="10" borderId="41" xfId="0" applyFont="1" applyFill="1" applyBorder="1" applyAlignment="1">
      <alignment horizontal="center" vertical="center"/>
    </xf>
    <xf numFmtId="0" fontId="0" fillId="42" borderId="0" xfId="0" applyFill="1" applyAlignment="1">
      <alignment wrapText="1"/>
    </xf>
    <xf numFmtId="0" fontId="0" fillId="42" borderId="0" xfId="0" applyFill="1"/>
    <xf numFmtId="0" fontId="0" fillId="7" borderId="2" xfId="2" applyFont="1" applyFill="1" applyBorder="1" applyAlignment="1">
      <alignment horizontal="left"/>
    </xf>
    <xf numFmtId="11" fontId="0" fillId="7" borderId="2" xfId="2" applyNumberFormat="1" applyFont="1" applyFill="1" applyBorder="1" applyAlignment="1">
      <alignment horizontal="left"/>
    </xf>
    <xf numFmtId="11" fontId="25" fillId="0" borderId="0" xfId="0" applyNumberFormat="1" applyFont="1"/>
    <xf numFmtId="0" fontId="0" fillId="48" borderId="7" xfId="2" applyFont="1" applyFill="1" applyBorder="1" applyAlignment="1">
      <alignment horizontal="left"/>
    </xf>
    <xf numFmtId="0" fontId="0" fillId="7" borderId="4" xfId="2" applyFont="1" applyFill="1" applyBorder="1" applyAlignment="1">
      <alignment horizontal="left"/>
    </xf>
    <xf numFmtId="0" fontId="6" fillId="3" borderId="5" xfId="10" applyAlignment="1">
      <alignment horizontal="left"/>
    </xf>
    <xf numFmtId="1" fontId="0" fillId="2" borderId="4" xfId="2" applyNumberFormat="1" applyFont="1" applyBorder="1" applyAlignment="1">
      <alignment horizontal="left" wrapText="1"/>
    </xf>
    <xf numFmtId="0" fontId="0" fillId="2" borderId="4" xfId="2" applyFont="1" applyBorder="1" applyAlignment="1">
      <alignment horizontal="left"/>
    </xf>
    <xf numFmtId="165" fontId="0" fillId="2" borderId="4" xfId="2" applyNumberFormat="1" applyFont="1" applyBorder="1" applyAlignment="1">
      <alignment horizontal="left" wrapText="1"/>
    </xf>
    <xf numFmtId="0" fontId="0" fillId="48" borderId="4" xfId="2" applyFont="1" applyFill="1" applyBorder="1" applyAlignment="1">
      <alignment horizontal="left"/>
    </xf>
    <xf numFmtId="0" fontId="0" fillId="2" borderId="4" xfId="2" applyFont="1" applyBorder="1" applyAlignment="1">
      <alignment horizontal="center"/>
    </xf>
    <xf numFmtId="0" fontId="5" fillId="0" borderId="3" xfId="9" applyAlignment="1">
      <alignment horizontal="center" vertical="center"/>
    </xf>
    <xf numFmtId="0" fontId="5" fillId="0" borderId="3" xfId="9" applyAlignment="1">
      <alignment horizontal="center"/>
    </xf>
    <xf numFmtId="0" fontId="1" fillId="2" borderId="0" xfId="2" applyAlignment="1">
      <alignment wrapText="1"/>
    </xf>
    <xf numFmtId="0" fontId="1" fillId="7" borderId="0" xfId="2" applyFill="1" applyAlignment="1">
      <alignment horizontal="center" vertical="center" wrapText="1"/>
    </xf>
    <xf numFmtId="170" fontId="1" fillId="7" borderId="4" xfId="2" applyNumberFormat="1" applyFill="1" applyBorder="1" applyAlignment="1">
      <alignment horizontal="center" vertical="center" wrapText="1"/>
    </xf>
    <xf numFmtId="167" fontId="1" fillId="7" borderId="4" xfId="2" applyNumberFormat="1" applyFill="1" applyBorder="1" applyAlignment="1">
      <alignment horizontal="center" vertical="center" wrapText="1"/>
    </xf>
    <xf numFmtId="170" fontId="0" fillId="2" borderId="4" xfId="2" applyNumberFormat="1" applyFont="1" applyBorder="1" applyAlignment="1">
      <alignment horizontal="left" wrapText="1"/>
    </xf>
    <xf numFmtId="0" fontId="8" fillId="49" borderId="0" xfId="0" applyFont="1" applyFill="1"/>
    <xf numFmtId="0" fontId="0" fillId="50" borderId="0" xfId="0" applyFill="1"/>
    <xf numFmtId="0" fontId="8" fillId="49" borderId="0" xfId="0" applyFont="1" applyFill="1" applyAlignment="1">
      <alignment horizontal="center"/>
    </xf>
    <xf numFmtId="0" fontId="8" fillId="51" borderId="0" xfId="0" applyFont="1" applyFill="1"/>
    <xf numFmtId="0" fontId="8" fillId="51" borderId="35" xfId="0" applyFont="1" applyFill="1" applyBorder="1"/>
    <xf numFmtId="0" fontId="8" fillId="49" borderId="0" xfId="0" applyFont="1" applyFill="1" applyAlignment="1">
      <alignment horizontal="center" vertical="center"/>
    </xf>
    <xf numFmtId="2" fontId="8" fillId="49" borderId="0" xfId="0" applyNumberFormat="1" applyFont="1" applyFill="1"/>
    <xf numFmtId="0" fontId="8" fillId="52" borderId="0" xfId="0" applyFont="1" applyFill="1"/>
    <xf numFmtId="0" fontId="8" fillId="52" borderId="42" xfId="0" applyFont="1" applyFill="1" applyBorder="1"/>
    <xf numFmtId="0" fontId="8" fillId="49" borderId="39" xfId="0" applyFont="1" applyFill="1" applyBorder="1" applyAlignment="1">
      <alignment horizontal="center"/>
    </xf>
    <xf numFmtId="0" fontId="8" fillId="52" borderId="39" xfId="0" applyFont="1" applyFill="1" applyBorder="1"/>
    <xf numFmtId="0" fontId="8" fillId="52" borderId="43" xfId="0" applyFont="1" applyFill="1" applyBorder="1"/>
    <xf numFmtId="0" fontId="8" fillId="49" borderId="39" xfId="0" applyFont="1" applyFill="1" applyBorder="1" applyAlignment="1">
      <alignment horizontal="center" vertical="center"/>
    </xf>
    <xf numFmtId="2" fontId="8" fillId="49" borderId="39" xfId="0" applyNumberFormat="1" applyFont="1" applyFill="1" applyBorder="1"/>
    <xf numFmtId="0" fontId="8" fillId="53" borderId="0" xfId="0" applyFont="1" applyFill="1" applyAlignment="1">
      <alignment horizontal="center"/>
    </xf>
    <xf numFmtId="0" fontId="8" fillId="53" borderId="39" xfId="0" applyFont="1" applyFill="1" applyBorder="1" applyAlignment="1">
      <alignment horizontal="center"/>
    </xf>
    <xf numFmtId="0" fontId="8" fillId="54" borderId="0" xfId="0" applyFont="1" applyFill="1" applyAlignment="1">
      <alignment horizontal="center"/>
    </xf>
    <xf numFmtId="0" fontId="8" fillId="54" borderId="39" xfId="0" applyFont="1" applyFill="1" applyBorder="1" applyAlignment="1">
      <alignment horizontal="center"/>
    </xf>
    <xf numFmtId="0" fontId="0" fillId="6" borderId="2" xfId="2" applyFont="1" applyFill="1" applyBorder="1" applyAlignment="1">
      <alignment horizontal="center"/>
    </xf>
    <xf numFmtId="2" fontId="0" fillId="7" borderId="0" xfId="0" applyNumberFormat="1" applyFill="1"/>
    <xf numFmtId="0" fontId="0" fillId="7" borderId="44" xfId="0" applyFill="1" applyBorder="1" applyAlignment="1">
      <alignment horizontal="center" vertical="center"/>
    </xf>
    <xf numFmtId="0" fontId="0" fillId="7" borderId="39" xfId="0" applyFill="1" applyBorder="1" applyAlignment="1">
      <alignment horizontal="center" vertical="center"/>
    </xf>
    <xf numFmtId="2" fontId="0" fillId="7" borderId="39" xfId="0" applyNumberFormat="1" applyFill="1" applyBorder="1"/>
    <xf numFmtId="0" fontId="8" fillId="49" borderId="45" xfId="0" applyFont="1" applyFill="1" applyBorder="1" applyAlignment="1">
      <alignment horizontal="center" vertical="center"/>
    </xf>
    <xf numFmtId="0" fontId="6" fillId="48" borderId="2" xfId="10" applyFill="1" applyBorder="1" applyAlignment="1">
      <alignment horizontal="right"/>
    </xf>
    <xf numFmtId="0" fontId="18" fillId="44" borderId="28" xfId="0" applyFont="1" applyFill="1" applyBorder="1" applyAlignment="1">
      <alignment horizontal="center" vertical="center" wrapText="1"/>
    </xf>
    <xf numFmtId="0" fontId="18" fillId="44" borderId="30" xfId="0" applyFont="1" applyFill="1" applyBorder="1" applyAlignment="1">
      <alignment horizontal="center" vertical="center" wrapText="1"/>
    </xf>
    <xf numFmtId="0" fontId="18" fillId="44" borderId="31" xfId="0" applyFont="1" applyFill="1" applyBorder="1" applyAlignment="1">
      <alignment horizontal="center" vertical="center" wrapText="1"/>
    </xf>
    <xf numFmtId="0" fontId="18" fillId="43" borderId="38" xfId="0" applyFont="1" applyFill="1" applyBorder="1" applyAlignment="1">
      <alignment horizontal="center" vertical="center" wrapText="1"/>
    </xf>
    <xf numFmtId="0" fontId="18" fillId="43" borderId="31" xfId="0" applyFont="1" applyFill="1" applyBorder="1" applyAlignment="1">
      <alignment horizontal="center" vertical="center" wrapText="1"/>
    </xf>
    <xf numFmtId="0" fontId="18" fillId="43" borderId="28" xfId="0" applyFont="1" applyFill="1" applyBorder="1" applyAlignment="1">
      <alignment horizontal="center" vertical="center" wrapText="1"/>
    </xf>
    <xf numFmtId="0" fontId="18" fillId="43" borderId="30" xfId="0" applyFont="1" applyFill="1" applyBorder="1" applyAlignment="1">
      <alignment horizontal="center" vertical="center" wrapText="1"/>
    </xf>
    <xf numFmtId="0" fontId="18" fillId="43" borderId="24" xfId="0" applyFont="1" applyFill="1" applyBorder="1" applyAlignment="1">
      <alignment horizontal="center" vertical="center" wrapText="1"/>
    </xf>
    <xf numFmtId="0" fontId="22" fillId="42" borderId="19" xfId="1" applyFont="1" applyFill="1" applyBorder="1" applyAlignment="1">
      <alignment horizontal="center" vertical="center" wrapText="1"/>
    </xf>
    <xf numFmtId="0" fontId="22" fillId="42" borderId="1" xfId="1" applyFont="1" applyFill="1" applyAlignment="1">
      <alignment horizontal="center" vertical="center" wrapText="1"/>
    </xf>
    <xf numFmtId="0" fontId="22" fillId="42" borderId="20" xfId="1" applyFont="1" applyFill="1" applyBorder="1" applyAlignment="1">
      <alignment horizontal="center" vertical="center" wrapText="1"/>
    </xf>
  </cellXfs>
  <cellStyles count="49">
    <cellStyle name="20% - Accent1" xfId="27" builtinId="30" customBuiltin="1"/>
    <cellStyle name="20% - Accent2" xfId="31" builtinId="34" customBuiltin="1"/>
    <cellStyle name="20% - Accent3" xfId="35" builtinId="38" customBuiltin="1"/>
    <cellStyle name="20% - Accent4" xfId="2" builtinId="42" customBuiltin="1"/>
    <cellStyle name="20% - Accent5" xfId="42" builtinId="46" customBuiltin="1"/>
    <cellStyle name="20% - Accent6" xfId="46" builtinId="50" customBuiltin="1"/>
    <cellStyle name="40% - Accent1" xfId="28" builtinId="31" customBuiltin="1"/>
    <cellStyle name="40% - Accent2" xfId="32" builtinId="35" customBuiltin="1"/>
    <cellStyle name="40% - Accent3" xfId="36" builtinId="39" customBuiltin="1"/>
    <cellStyle name="40% - Accent4" xfId="39" builtinId="43" customBuiltin="1"/>
    <cellStyle name="40% - Accent5" xfId="43" builtinId="47" customBuiltin="1"/>
    <cellStyle name="40% - Accent6" xfId="47" builtinId="51" customBuiltin="1"/>
    <cellStyle name="60% - Accent1" xfId="29" builtinId="32" customBuiltin="1"/>
    <cellStyle name="60% - Accent2" xfId="33" builtinId="36" customBuiltin="1"/>
    <cellStyle name="60% - Accent3" xfId="37" builtinId="40" customBuiltin="1"/>
    <cellStyle name="60% - Accent4" xfId="40" builtinId="44" customBuiltin="1"/>
    <cellStyle name="60% - Accent5" xfId="44" builtinId="48" customBuiltin="1"/>
    <cellStyle name="60% - Accent6" xfId="48" builtinId="52" customBuiltin="1"/>
    <cellStyle name="Accent1" xfId="26" builtinId="29" customBuiltin="1"/>
    <cellStyle name="Accent2" xfId="30" builtinId="33" customBuiltin="1"/>
    <cellStyle name="Accent3" xfId="34" builtinId="37" customBuiltin="1"/>
    <cellStyle name="Accent4" xfId="38" builtinId="41" customBuiltin="1"/>
    <cellStyle name="Accent5" xfId="41" builtinId="45" customBuiltin="1"/>
    <cellStyle name="Accent6" xfId="45" builtinId="49" customBuiltin="1"/>
    <cellStyle name="Bad" xfId="16" builtinId="27" customBuiltin="1"/>
    <cellStyle name="Calculation" xfId="19" builtinId="22" customBuiltin="1"/>
    <cellStyle name="Check Cell" xfId="21" builtinId="23" customBuiltin="1"/>
    <cellStyle name="Comma" xfId="11" builtinId="3"/>
    <cellStyle name="Comma 2" xfId="4" xr:uid="{00000000-0005-0000-0000-000001000000}"/>
    <cellStyle name="Currency 2" xfId="6" xr:uid="{00000000-0005-0000-0000-000002000000}"/>
    <cellStyle name="Explanatory Text" xfId="24" builtinId="53" customBuiltin="1"/>
    <cellStyle name="Good" xfId="15" builtinId="26" customBuiltin="1"/>
    <cellStyle name="Heading 1" xfId="13" builtinId="16" customBuiltin="1"/>
    <cellStyle name="Heading 2" xfId="9" builtinId="17" customBuiltin="1"/>
    <cellStyle name="Heading 3" xfId="1" builtinId="18" customBuiltin="1"/>
    <cellStyle name="Heading 4" xfId="14" builtinId="19" customBuiltin="1"/>
    <cellStyle name="Input" xfId="18" builtinId="20" customBuiltin="1"/>
    <cellStyle name="Linked Cell" xfId="20" builtinId="24" customBuiltin="1"/>
    <cellStyle name="Neutral" xfId="17" builtinId="28" customBuiltin="1"/>
    <cellStyle name="Normal" xfId="0" builtinId="0"/>
    <cellStyle name="Normal 2" xfId="3" xr:uid="{00000000-0005-0000-0000-000006000000}"/>
    <cellStyle name="Normal 3" xfId="7" xr:uid="{00000000-0005-0000-0000-000007000000}"/>
    <cellStyle name="Normal 4" xfId="5" xr:uid="{00000000-0005-0000-0000-000008000000}"/>
    <cellStyle name="Normal 5" xfId="8" xr:uid="{00000000-0005-0000-0000-000009000000}"/>
    <cellStyle name="Note" xfId="23" builtinId="10" customBuiltin="1"/>
    <cellStyle name="Output" xfId="10" builtinId="21" customBuiltin="1"/>
    <cellStyle name="Title" xfId="12" builtinId="15" customBuiltin="1"/>
    <cellStyle name="Total" xfId="25" builtinId="25" customBuiltin="1"/>
    <cellStyle name="Warning Text" xfId="22" builtinId="11" customBuiltin="1"/>
  </cellStyles>
  <dxfs count="64">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2"/>
        </patternFill>
      </fill>
    </dxf>
    <dxf>
      <fill>
        <patternFill>
          <bgColor theme="5" tint="0.59996337778862885"/>
        </patternFill>
      </fill>
    </dxf>
    <dxf>
      <fill>
        <patternFill>
          <bgColor theme="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2"/>
        </patternFill>
      </fill>
    </dxf>
    <dxf>
      <fill>
        <patternFill>
          <bgColor theme="5" tint="0.59996337778862885"/>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5" tint="0.59996337778862885"/>
        </patternFill>
      </fill>
    </dxf>
    <dxf>
      <fill>
        <patternFill>
          <bgColor theme="9"/>
        </patternFill>
      </fill>
    </dxf>
    <dxf>
      <fill>
        <patternFill>
          <bgColor rgb="FFFFC000"/>
        </patternFill>
      </fill>
    </dxf>
    <dxf>
      <fill>
        <patternFill>
          <bgColor theme="5" tint="0.59996337778862885"/>
        </patternFill>
      </fill>
    </dxf>
    <dxf>
      <fill>
        <patternFill>
          <bgColor theme="2"/>
        </patternFill>
      </fill>
    </dxf>
    <dxf>
      <fill>
        <patternFill>
          <bgColor theme="5" tint="0.59996337778862885"/>
        </patternFill>
      </fill>
    </dxf>
    <dxf>
      <fill>
        <patternFill>
          <bgColor theme="5" tint="0.59996337778862885"/>
        </patternFill>
      </fill>
    </dxf>
    <dxf>
      <fill>
        <patternFill>
          <bgColor theme="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9"/>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won, Jonghwan" id="{CEF5B54A-F801-4737-A09F-85E1BD7606CC}" userId="S::kwonj@anl.gov::52eb57fe-6b0a-4f61-a53a-0fcbc84136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2" dT="2025-07-17T20:22:42.38" personId="{CEF5B54A-F801-4737-A09F-85E1BD7606CC}" id="{D776FC56-1ABC-43FC-8759-D4842BC98673}">
    <text>Enter either % or $/MWh based on the “reserve_cost_type_flag” selection in the “Planning Design” tab</text>
  </threadedComment>
  <threadedComment ref="AI2" dT="2025-07-17T20:22:57.18" personId="{CEF5B54A-F801-4737-A09F-85E1BD7606CC}" id="{C4BA1153-937E-4EBD-BCC9-A6A96299ACF4}">
    <text xml:space="preserve">Enter either % or $/MWh based on the “reserve_cost_type_flag” selection in the “Planning Design” tab
</text>
  </threadedComment>
  <threadedComment ref="AJ2" dT="2025-07-17T20:23:03.67" personId="{CEF5B54A-F801-4737-A09F-85E1BD7606CC}" id="{C4E8041D-B060-45FF-86E5-0F45EA7329E4}">
    <text xml:space="preserve">Enter either % or $/MWh based on the “reserve_cost_type_flag” selection in the “Planning Design” tab
</text>
  </threadedComment>
  <threadedComment ref="AK2" dT="2025-07-17T20:23:07.21" personId="{CEF5B54A-F801-4737-A09F-85E1BD7606CC}" id="{5982B666-498B-4B5D-A85C-A48587A0BEBA}">
    <text xml:space="preserve">Enter either % or $/MWh based on the “reserve_cost_type_flag” selection in the “Planning Design” tab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79998168889431442"/>
  </sheetPr>
  <dimension ref="A1:C37"/>
  <sheetViews>
    <sheetView zoomScale="115" zoomScaleNormal="115" workbookViewId="0">
      <pane ySplit="2" topLeftCell="A3" activePane="bottomLeft" state="frozen"/>
      <selection pane="bottomLeft" activeCell="B13" sqref="B13"/>
    </sheetView>
  </sheetViews>
  <sheetFormatPr baseColWidth="10" defaultColWidth="8.83203125" defaultRowHeight="15" x14ac:dyDescent="0.2"/>
  <cols>
    <col min="1" max="1" width="43.33203125" customWidth="1"/>
    <col min="2" max="2" width="35.5" customWidth="1"/>
    <col min="3" max="3" width="160.6640625" customWidth="1"/>
  </cols>
  <sheetData>
    <row r="1" spans="1:3" x14ac:dyDescent="0.2">
      <c r="A1" s="125"/>
      <c r="B1" s="125"/>
      <c r="C1" s="125"/>
    </row>
    <row r="2" spans="1:3" ht="18" thickBot="1" x14ac:dyDescent="0.25">
      <c r="A2" s="1" t="s">
        <v>4</v>
      </c>
      <c r="B2" s="1" t="s">
        <v>5</v>
      </c>
      <c r="C2" s="158" t="s">
        <v>6</v>
      </c>
    </row>
    <row r="3" spans="1:3" ht="16" thickTop="1" x14ac:dyDescent="0.2">
      <c r="A3" s="50" t="s">
        <v>415</v>
      </c>
      <c r="B3" s="52"/>
      <c r="C3" s="51"/>
    </row>
    <row r="4" spans="1:3" x14ac:dyDescent="0.2">
      <c r="A4" s="10" t="s">
        <v>8</v>
      </c>
      <c r="B4" s="182" t="s">
        <v>600</v>
      </c>
      <c r="C4" s="6" t="s">
        <v>1296</v>
      </c>
    </row>
    <row r="5" spans="1:3" x14ac:dyDescent="0.2">
      <c r="A5" s="50" t="s">
        <v>418</v>
      </c>
      <c r="B5" s="52"/>
      <c r="C5" s="51"/>
    </row>
    <row r="6" spans="1:3" x14ac:dyDescent="0.2">
      <c r="A6" s="10" t="s">
        <v>419</v>
      </c>
      <c r="B6" s="126" t="s">
        <v>1193</v>
      </c>
      <c r="C6" s="6" t="s">
        <v>1297</v>
      </c>
    </row>
    <row r="7" spans="1:3" x14ac:dyDescent="0.2">
      <c r="A7" s="10" t="s">
        <v>594</v>
      </c>
      <c r="B7" s="126" t="s">
        <v>1179</v>
      </c>
      <c r="C7" s="6" t="s">
        <v>1415</v>
      </c>
    </row>
    <row r="8" spans="1:3" x14ac:dyDescent="0.2">
      <c r="A8" s="10" t="s">
        <v>92</v>
      </c>
      <c r="B8" s="60" t="s">
        <v>1236</v>
      </c>
      <c r="C8" s="6" t="s">
        <v>1298</v>
      </c>
    </row>
    <row r="9" spans="1:3" x14ac:dyDescent="0.2">
      <c r="A9" s="10" t="s">
        <v>1239</v>
      </c>
      <c r="B9" s="59" t="b">
        <v>1</v>
      </c>
      <c r="C9" s="6" t="s">
        <v>1299</v>
      </c>
    </row>
    <row r="10" spans="1:3" x14ac:dyDescent="0.2">
      <c r="A10" s="50" t="s">
        <v>577</v>
      </c>
      <c r="B10" s="52"/>
      <c r="C10" s="51"/>
    </row>
    <row r="11" spans="1:3" x14ac:dyDescent="0.2">
      <c r="A11" s="8" t="s">
        <v>1180</v>
      </c>
      <c r="B11" s="156" t="s">
        <v>1411</v>
      </c>
      <c r="C11" s="9" t="s">
        <v>1412</v>
      </c>
    </row>
    <row r="12" spans="1:3" x14ac:dyDescent="0.2">
      <c r="A12" s="10" t="s">
        <v>565</v>
      </c>
      <c r="B12" s="59" t="b">
        <v>0</v>
      </c>
      <c r="C12" s="6" t="s">
        <v>1300</v>
      </c>
    </row>
    <row r="13" spans="1:3" x14ac:dyDescent="0.2">
      <c r="A13" s="10" t="s">
        <v>387</v>
      </c>
      <c r="B13" s="59" t="b">
        <v>0</v>
      </c>
      <c r="C13" s="6" t="s">
        <v>1301</v>
      </c>
    </row>
    <row r="14" spans="1:3" x14ac:dyDescent="0.2">
      <c r="A14" s="50" t="s">
        <v>1223</v>
      </c>
      <c r="B14" s="52"/>
      <c r="C14" s="51"/>
    </row>
    <row r="15" spans="1:3" x14ac:dyDescent="0.2">
      <c r="A15" s="8" t="s">
        <v>1234</v>
      </c>
      <c r="B15" s="59" t="b">
        <v>0</v>
      </c>
      <c r="C15" s="9" t="s">
        <v>1403</v>
      </c>
    </row>
    <row r="16" spans="1:3" x14ac:dyDescent="0.2">
      <c r="A16" s="8" t="s">
        <v>1225</v>
      </c>
      <c r="B16" s="59" t="b">
        <v>1</v>
      </c>
      <c r="C16" s="9" t="s">
        <v>1302</v>
      </c>
    </row>
    <row r="17" spans="1:3" x14ac:dyDescent="0.2">
      <c r="A17" s="10" t="s">
        <v>1226</v>
      </c>
      <c r="B17" s="59" t="b">
        <v>1</v>
      </c>
      <c r="C17" s="6" t="s">
        <v>1303</v>
      </c>
    </row>
    <row r="18" spans="1:3" x14ac:dyDescent="0.2">
      <c r="A18" s="10" t="s">
        <v>1227</v>
      </c>
      <c r="B18" s="59" t="b">
        <v>1</v>
      </c>
      <c r="C18" s="6" t="s">
        <v>1304</v>
      </c>
    </row>
    <row r="19" spans="1:3" x14ac:dyDescent="0.2">
      <c r="A19" s="10" t="s">
        <v>1228</v>
      </c>
      <c r="B19" s="59" t="b">
        <v>1</v>
      </c>
      <c r="C19" s="6" t="s">
        <v>1305</v>
      </c>
    </row>
    <row r="20" spans="1:3" x14ac:dyDescent="0.2">
      <c r="A20" s="10" t="s">
        <v>1229</v>
      </c>
      <c r="B20" s="59" t="b">
        <v>1</v>
      </c>
      <c r="C20" s="6" t="s">
        <v>1306</v>
      </c>
    </row>
    <row r="21" spans="1:3" x14ac:dyDescent="0.2">
      <c r="A21" s="50" t="s">
        <v>1224</v>
      </c>
      <c r="B21" s="52"/>
      <c r="C21" s="51"/>
    </row>
    <row r="22" spans="1:3" x14ac:dyDescent="0.2">
      <c r="A22" s="8" t="s">
        <v>1230</v>
      </c>
      <c r="B22" s="59" t="b">
        <v>1</v>
      </c>
      <c r="C22" s="9" t="s">
        <v>1233</v>
      </c>
    </row>
    <row r="23" spans="1:3" x14ac:dyDescent="0.2">
      <c r="A23" s="10" t="s">
        <v>1231</v>
      </c>
      <c r="B23" s="59" t="b">
        <v>1</v>
      </c>
      <c r="C23" s="6" t="s">
        <v>1307</v>
      </c>
    </row>
    <row r="24" spans="1:3" x14ac:dyDescent="0.2">
      <c r="A24" s="10" t="s">
        <v>1232</v>
      </c>
      <c r="B24" s="59" t="b">
        <v>1</v>
      </c>
      <c r="C24" s="6" t="s">
        <v>1308</v>
      </c>
    </row>
    <row r="25" spans="1:3" x14ac:dyDescent="0.2">
      <c r="A25" s="50" t="s">
        <v>389</v>
      </c>
      <c r="B25" s="52"/>
      <c r="C25" s="51"/>
    </row>
    <row r="26" spans="1:3" x14ac:dyDescent="0.2">
      <c r="A26" s="10" t="s">
        <v>955</v>
      </c>
      <c r="B26" s="15" t="s">
        <v>1416</v>
      </c>
      <c r="C26" s="6" t="s">
        <v>1309</v>
      </c>
    </row>
    <row r="27" spans="1:3" x14ac:dyDescent="0.2">
      <c r="A27" s="10" t="s">
        <v>91</v>
      </c>
      <c r="B27" s="15">
        <v>1E-4</v>
      </c>
      <c r="C27" s="6" t="s">
        <v>1310</v>
      </c>
    </row>
    <row r="28" spans="1:3" x14ac:dyDescent="0.2">
      <c r="A28" s="10" t="s">
        <v>134</v>
      </c>
      <c r="B28" s="129">
        <v>100</v>
      </c>
      <c r="C28" s="6" t="s">
        <v>1311</v>
      </c>
    </row>
    <row r="29" spans="1:3" x14ac:dyDescent="0.2">
      <c r="A29" s="10" t="s">
        <v>586</v>
      </c>
      <c r="B29" s="129">
        <v>10000</v>
      </c>
      <c r="C29" s="6" t="s">
        <v>1312</v>
      </c>
    </row>
    <row r="30" spans="1:3" x14ac:dyDescent="0.2">
      <c r="A30" s="10" t="s">
        <v>7</v>
      </c>
      <c r="B30" s="66" t="b">
        <v>0</v>
      </c>
      <c r="C30" s="6" t="s">
        <v>1313</v>
      </c>
    </row>
    <row r="31" spans="1:3" x14ac:dyDescent="0.2">
      <c r="A31" s="10" t="s">
        <v>571</v>
      </c>
      <c r="B31" s="66" t="b">
        <v>0</v>
      </c>
      <c r="C31" s="6" t="s">
        <v>1314</v>
      </c>
    </row>
    <row r="32" spans="1:3" x14ac:dyDescent="0.2">
      <c r="A32" s="10" t="s">
        <v>572</v>
      </c>
      <c r="B32" s="66" t="b">
        <v>0</v>
      </c>
      <c r="C32" s="6" t="s">
        <v>1315</v>
      </c>
    </row>
    <row r="33" spans="1:3" x14ac:dyDescent="0.2">
      <c r="A33" s="10" t="s">
        <v>106</v>
      </c>
      <c r="B33" s="66" t="b">
        <v>0</v>
      </c>
      <c r="C33" s="6" t="s">
        <v>1316</v>
      </c>
    </row>
    <row r="34" spans="1:3" x14ac:dyDescent="0.2">
      <c r="A34" s="10" t="s">
        <v>107</v>
      </c>
      <c r="B34" s="66" t="b">
        <v>0</v>
      </c>
      <c r="C34" s="6" t="s">
        <v>1317</v>
      </c>
    </row>
    <row r="35" spans="1:3" x14ac:dyDescent="0.2">
      <c r="A35" s="10" t="s">
        <v>9</v>
      </c>
      <c r="B35" s="36" t="s">
        <v>120</v>
      </c>
      <c r="C35" s="6" t="s">
        <v>1318</v>
      </c>
    </row>
    <row r="36" spans="1:3" x14ac:dyDescent="0.2">
      <c r="A36" s="10" t="s">
        <v>490</v>
      </c>
      <c r="B36" s="66" t="b">
        <v>0</v>
      </c>
      <c r="C36" s="6" t="s">
        <v>1319</v>
      </c>
    </row>
    <row r="37" spans="1:3" x14ac:dyDescent="0.2">
      <c r="A37" s="10" t="s">
        <v>491</v>
      </c>
      <c r="B37" s="66">
        <v>1</v>
      </c>
      <c r="C37" s="6" t="s">
        <v>1320</v>
      </c>
    </row>
  </sheetData>
  <dataConsolidate/>
  <conditionalFormatting sqref="B9">
    <cfRule type="cellIs" dxfId="63" priority="1" operator="equal">
      <formula>TRUE</formula>
    </cfRule>
  </conditionalFormatting>
  <conditionalFormatting sqref="B11:B13 B15:B20 B22:B24">
    <cfRule type="cellIs" dxfId="62" priority="2" operator="equal">
      <formula>TRUE</formula>
    </cfRule>
  </conditionalFormatting>
  <conditionalFormatting sqref="B30:B34">
    <cfRule type="cellIs" dxfId="61" priority="4" operator="equal">
      <formula>TRUE</formula>
    </cfRule>
  </conditionalFormatting>
  <conditionalFormatting sqref="B36:B37">
    <cfRule type="cellIs" dxfId="60" priority="3" operator="equal">
      <formula>TRUE</formula>
    </cfRule>
  </conditionalFormatting>
  <dataValidations count="11">
    <dataValidation type="list" allowBlank="1" showInputMessage="1" showErrorMessage="1" sqref="B30:B34 B36 B12:B13 B22:B24 B15:B20 B9" xr:uid="{B742A4B4-2D98-B44A-85C6-D2B9318E3AA7}">
      <formula1>"True, False"</formula1>
    </dataValidation>
    <dataValidation type="list" allowBlank="1" showInputMessage="1" showErrorMessage="1" sqref="B36 B9:B10 B12:B24" xr:uid="{9065D15A-B4CA-BB40-BF2A-5AC7189D927E}">
      <formula1>"PTDF, Network_Flow"</formula1>
    </dataValidation>
    <dataValidation type="list" allowBlank="1" showInputMessage="1" showErrorMessage="1" sqref="B36 B9:B10 B12:B24" xr:uid="{BD8361D2-FACC-7F46-94F7-E6292072F996}">
      <formula1>"PTDF, Network Flow, None"</formula1>
    </dataValidation>
    <dataValidation type="list" allowBlank="1" showInputMessage="1" showErrorMessage="1" sqref="B37" xr:uid="{80F7B75D-E793-FB4B-A3E0-F0D3CA3321E9}">
      <formula1>"1, 2, 3"</formula1>
    </dataValidation>
    <dataValidation type="list" allowBlank="1" showInputMessage="1" showErrorMessage="1" sqref="B37" xr:uid="{9EC206B1-1634-E040-9CF7-E08925C5E0AD}">
      <formula1>"1,2,3"</formula1>
    </dataValidation>
    <dataValidation type="list" allowBlank="1" showInputMessage="1" showErrorMessage="1" sqref="B6" xr:uid="{56C117FF-E7DD-414C-B8FB-2254B4903709}">
      <formula1>"Individual_Plants, Aggregated_by_Tech"</formula1>
    </dataValidation>
    <dataValidation type="list" allowBlank="1" showInputMessage="1" showErrorMessage="1" sqref="B7" xr:uid="{28FAF492-AB7B-F542-943E-5FC0CB346E20}">
      <formula1>"Individual Plant, Gen Technology"</formula1>
    </dataValidation>
    <dataValidation type="list" allowBlank="1" showInputMessage="1" showErrorMessage="1" sqref="B8" xr:uid="{C3B5011E-BCDF-644C-984D-50EF8CCFAF15}">
      <formula1>"PTDF, Network_Flow, B-theta"</formula1>
    </dataValidation>
    <dataValidation type="list" allowBlank="1" showInputMessage="1" showErrorMessage="1" sqref="B8" xr:uid="{2D0A0FB3-3E55-AD40-AE2D-426C14485E08}">
      <formula1>"PTDF, Network Flow, B-theta"</formula1>
    </dataValidation>
    <dataValidation type="list" allowBlank="1" showInputMessage="1" showErrorMessage="1" sqref="B26" xr:uid="{D153647A-8B1F-8048-AACB-FCE14B906B43}">
      <formula1>"simple, detailed"</formula1>
    </dataValidation>
    <dataValidation type="list" allowBlank="1" showInputMessage="1" showErrorMessage="1" sqref="B11" xr:uid="{26C24908-427D-1547-BBF2-EA28D941771D}">
      <formula1>"CPLEX, HiGHS, cuOpt, MadNLP"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4" tint="0.79998168889431442"/>
  </sheetPr>
  <dimension ref="A1:C32"/>
  <sheetViews>
    <sheetView zoomScale="115" zoomScaleNormal="115" workbookViewId="0">
      <pane ySplit="2" topLeftCell="A3" activePane="bottomLeft" state="frozen"/>
      <selection pane="bottomLeft" activeCell="A22" sqref="A22:A23"/>
    </sheetView>
  </sheetViews>
  <sheetFormatPr baseColWidth="10" defaultColWidth="8.83203125" defaultRowHeight="15" x14ac:dyDescent="0.2"/>
  <cols>
    <col min="1" max="1" width="52.83203125" customWidth="1"/>
    <col min="2" max="2" width="35.5" customWidth="1"/>
    <col min="3" max="3" width="146.83203125" customWidth="1"/>
    <col min="5" max="5" width="16.6640625" bestFit="1" customWidth="1"/>
  </cols>
  <sheetData>
    <row r="1" spans="1:3" x14ac:dyDescent="0.2">
      <c r="A1" s="125"/>
      <c r="B1" s="125"/>
      <c r="C1" s="125"/>
    </row>
    <row r="2" spans="1:3" ht="18" thickBot="1" x14ac:dyDescent="0.25">
      <c r="A2" s="1" t="s">
        <v>4</v>
      </c>
      <c r="B2" s="1" t="s">
        <v>5</v>
      </c>
      <c r="C2" s="158" t="s">
        <v>6</v>
      </c>
    </row>
    <row r="3" spans="1:3" ht="25.5" customHeight="1" thickTop="1" x14ac:dyDescent="0.2">
      <c r="A3" s="50" t="s">
        <v>428</v>
      </c>
      <c r="B3" s="52"/>
      <c r="C3" s="51"/>
    </row>
    <row r="4" spans="1:3" x14ac:dyDescent="0.2">
      <c r="A4" s="8" t="s">
        <v>429</v>
      </c>
      <c r="B4" s="54">
        <v>2022</v>
      </c>
      <c r="C4" s="9" t="s">
        <v>1409</v>
      </c>
    </row>
    <row r="5" spans="1:3" x14ac:dyDescent="0.2">
      <c r="A5" s="8" t="s">
        <v>1391</v>
      </c>
      <c r="B5" s="56">
        <v>2021</v>
      </c>
      <c r="C5" s="9" t="s">
        <v>1410</v>
      </c>
    </row>
    <row r="6" spans="1:3" x14ac:dyDescent="0.2">
      <c r="A6" s="35" t="s">
        <v>1392</v>
      </c>
      <c r="B6" s="56">
        <v>2025</v>
      </c>
      <c r="C6" s="9" t="s">
        <v>1393</v>
      </c>
    </row>
    <row r="7" spans="1:3" x14ac:dyDescent="0.2">
      <c r="A7" s="8" t="s">
        <v>366</v>
      </c>
      <c r="B7" s="56">
        <v>2</v>
      </c>
      <c r="C7" s="3" t="s">
        <v>1394</v>
      </c>
    </row>
    <row r="8" spans="1:3" x14ac:dyDescent="0.2">
      <c r="A8" s="10" t="s">
        <v>367</v>
      </c>
      <c r="B8" s="57">
        <v>2</v>
      </c>
      <c r="C8" s="3" t="s">
        <v>1397</v>
      </c>
    </row>
    <row r="9" spans="1:3" x14ac:dyDescent="0.2">
      <c r="A9" s="8" t="s">
        <v>1395</v>
      </c>
      <c r="B9" s="54">
        <f>B6+(B8*B7)-1</f>
        <v>2028</v>
      </c>
      <c r="C9" s="3" t="s">
        <v>1396</v>
      </c>
    </row>
    <row r="10" spans="1:3" ht="25.5" customHeight="1" x14ac:dyDescent="0.2">
      <c r="A10" s="50" t="s">
        <v>1390</v>
      </c>
      <c r="B10" s="52"/>
      <c r="C10" s="51"/>
    </row>
    <row r="11" spans="1:3" ht="17" customHeight="1" x14ac:dyDescent="0.2">
      <c r="A11" s="10" t="s">
        <v>368</v>
      </c>
      <c r="B11" s="66" t="b">
        <v>1</v>
      </c>
      <c r="C11" s="6" t="s">
        <v>1321</v>
      </c>
    </row>
    <row r="12" spans="1:3" x14ac:dyDescent="0.2">
      <c r="A12" s="10" t="s">
        <v>1388</v>
      </c>
      <c r="B12" s="57">
        <v>1</v>
      </c>
      <c r="C12" s="3" t="s">
        <v>1322</v>
      </c>
    </row>
    <row r="13" spans="1:3" x14ac:dyDescent="0.2">
      <c r="A13" s="10" t="s">
        <v>1389</v>
      </c>
      <c r="B13" s="57">
        <v>0</v>
      </c>
      <c r="C13" s="3" t="s">
        <v>1323</v>
      </c>
    </row>
    <row r="14" spans="1:3" x14ac:dyDescent="0.2">
      <c r="A14" s="10" t="s">
        <v>450</v>
      </c>
      <c r="B14" s="59" t="b">
        <v>0</v>
      </c>
      <c r="C14" s="6" t="s">
        <v>1324</v>
      </c>
    </row>
    <row r="15" spans="1:3" ht="25.5" customHeight="1" x14ac:dyDescent="0.2">
      <c r="A15" s="50" t="s">
        <v>573</v>
      </c>
      <c r="B15" s="52"/>
      <c r="C15" s="51"/>
    </row>
    <row r="16" spans="1:3" x14ac:dyDescent="0.2">
      <c r="A16" s="10" t="s">
        <v>88</v>
      </c>
      <c r="B16" s="24">
        <v>5.3999999999999999E-2</v>
      </c>
      <c r="C16" s="6" t="s">
        <v>1325</v>
      </c>
    </row>
    <row r="17" spans="1:3" x14ac:dyDescent="0.2">
      <c r="A17" s="188" t="s">
        <v>371</v>
      </c>
      <c r="B17" s="24">
        <v>5.3999999999999999E-2</v>
      </c>
      <c r="C17" s="6" t="s">
        <v>1326</v>
      </c>
    </row>
    <row r="18" spans="1:3" x14ac:dyDescent="0.2">
      <c r="A18" s="188" t="s">
        <v>569</v>
      </c>
      <c r="B18" s="122">
        <v>1.052</v>
      </c>
      <c r="C18" s="6" t="s">
        <v>1327</v>
      </c>
    </row>
    <row r="19" spans="1:3" ht="13.5" customHeight="1" x14ac:dyDescent="0.2">
      <c r="A19" s="10" t="s">
        <v>589</v>
      </c>
      <c r="B19" s="73" t="s">
        <v>595</v>
      </c>
      <c r="C19" s="6" t="s">
        <v>1328</v>
      </c>
    </row>
    <row r="20" spans="1:3" ht="25.5" customHeight="1" x14ac:dyDescent="0.2">
      <c r="A20" s="50" t="s">
        <v>427</v>
      </c>
      <c r="B20" s="52"/>
      <c r="C20" s="51"/>
    </row>
    <row r="21" spans="1:3" x14ac:dyDescent="0.2">
      <c r="A21" s="10" t="s">
        <v>388</v>
      </c>
      <c r="B21" s="58">
        <v>2</v>
      </c>
      <c r="C21" s="6" t="s">
        <v>1329</v>
      </c>
    </row>
    <row r="22" spans="1:3" x14ac:dyDescent="0.2">
      <c r="A22" s="188" t="s">
        <v>570</v>
      </c>
      <c r="B22" s="24">
        <v>40</v>
      </c>
      <c r="C22" s="6" t="s">
        <v>1330</v>
      </c>
    </row>
    <row r="23" spans="1:3" x14ac:dyDescent="0.2">
      <c r="A23" s="188" t="s">
        <v>1235</v>
      </c>
      <c r="B23" s="59" t="b">
        <v>1</v>
      </c>
      <c r="C23" s="6" t="s">
        <v>1331</v>
      </c>
    </row>
    <row r="24" spans="1:3" x14ac:dyDescent="0.2">
      <c r="A24" s="10" t="s">
        <v>166</v>
      </c>
      <c r="B24" s="73">
        <v>5</v>
      </c>
      <c r="C24" s="6" t="s">
        <v>1332</v>
      </c>
    </row>
    <row r="25" spans="1:3" ht="25.5" customHeight="1" x14ac:dyDescent="0.2">
      <c r="A25" s="50" t="s">
        <v>396</v>
      </c>
      <c r="B25" s="52"/>
      <c r="C25" s="51"/>
    </row>
    <row r="26" spans="1:3" x14ac:dyDescent="0.2">
      <c r="A26" s="10" t="s">
        <v>377</v>
      </c>
      <c r="B26" s="59" t="b">
        <v>0</v>
      </c>
      <c r="C26" s="6" t="s">
        <v>1333</v>
      </c>
    </row>
    <row r="27" spans="1:3" x14ac:dyDescent="0.2">
      <c r="A27" s="10" t="s">
        <v>192</v>
      </c>
      <c r="B27" s="59" t="b">
        <v>0</v>
      </c>
      <c r="C27" s="6" t="s">
        <v>1334</v>
      </c>
    </row>
    <row r="28" spans="1:3" ht="25.5" customHeight="1" x14ac:dyDescent="0.2">
      <c r="A28" s="50" t="s">
        <v>397</v>
      </c>
      <c r="B28" s="52"/>
      <c r="C28" s="51"/>
    </row>
    <row r="29" spans="1:3" x14ac:dyDescent="0.2">
      <c r="A29" s="10" t="s">
        <v>83</v>
      </c>
      <c r="B29" s="36">
        <v>24</v>
      </c>
      <c r="C29" s="6" t="s">
        <v>1335</v>
      </c>
    </row>
    <row r="30" spans="1:3" x14ac:dyDescent="0.2">
      <c r="A30" s="10" t="s">
        <v>84</v>
      </c>
      <c r="B30" s="36">
        <v>1</v>
      </c>
      <c r="C30" s="6" t="s">
        <v>1336</v>
      </c>
    </row>
    <row r="31" spans="1:3" x14ac:dyDescent="0.2">
      <c r="A31" s="10" t="s">
        <v>137</v>
      </c>
      <c r="B31" s="36">
        <v>981</v>
      </c>
      <c r="C31" s="6" t="s">
        <v>1337</v>
      </c>
    </row>
    <row r="32" spans="1:3" x14ac:dyDescent="0.2">
      <c r="A32" s="10" t="s">
        <v>1194</v>
      </c>
      <c r="B32" s="36">
        <v>2</v>
      </c>
      <c r="C32" s="6" t="s">
        <v>1338</v>
      </c>
    </row>
  </sheetData>
  <conditionalFormatting sqref="B14">
    <cfRule type="cellIs" dxfId="59" priority="3" operator="equal">
      <formula>TRUE</formula>
    </cfRule>
  </conditionalFormatting>
  <conditionalFormatting sqref="B23">
    <cfRule type="cellIs" dxfId="58" priority="1" operator="equal">
      <formula>TRUE</formula>
    </cfRule>
  </conditionalFormatting>
  <conditionalFormatting sqref="B26:B27">
    <cfRule type="cellIs" dxfId="57" priority="4" operator="equal">
      <formula>TRUE</formula>
    </cfRule>
  </conditionalFormatting>
  <dataValidations count="3">
    <dataValidation type="list" allowBlank="1" showInputMessage="1" showErrorMessage="1" sqref="B11 B26:B27 B14 B23" xr:uid="{16CE7106-AC66-4C92-A629-9A51E1E2473E}">
      <formula1>"True, False"</formula1>
    </dataValidation>
    <dataValidation type="custom" allowBlank="1" showInputMessage="1" showErrorMessage="1" error="the value should be less than the num_stages_value" sqref="B12" xr:uid="{C6F88B68-742E-42DF-996E-71DDF1F0DBD1}">
      <formula1>B12&lt;=B7</formula1>
    </dataValidation>
    <dataValidation type="list" allowBlank="1" showInputMessage="1" showErrorMessage="1" sqref="B19" xr:uid="{B31F3CA2-E937-489C-9656-4735D10DB551}">
      <formula1>"percentage, absolute"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4" tint="0.79998168889431442"/>
  </sheetPr>
  <dimension ref="A1:BY180"/>
  <sheetViews>
    <sheetView tabSelected="1" zoomScale="115" zoomScaleNormal="115" workbookViewId="0">
      <pane xSplit="6" ySplit="1" topLeftCell="BS2" activePane="bottomRight" state="frozen"/>
      <selection pane="topRight" activeCell="G1" sqref="G1"/>
      <selection pane="bottomLeft" activeCell="A2" sqref="A2"/>
      <selection pane="bottomRight" activeCell="BX2" sqref="BX2"/>
    </sheetView>
  </sheetViews>
  <sheetFormatPr baseColWidth="10" defaultColWidth="9.33203125" defaultRowHeight="15" x14ac:dyDescent="0.2"/>
  <cols>
    <col min="1" max="1" width="16.5" customWidth="1"/>
    <col min="2" max="2" width="37.5" customWidth="1"/>
    <col min="3" max="3" width="16.5" customWidth="1"/>
    <col min="4" max="5" width="20.5" customWidth="1"/>
    <col min="6" max="6" width="11.5" customWidth="1"/>
    <col min="7" max="7" width="19.1640625" customWidth="1"/>
    <col min="8" max="8" width="14.5" customWidth="1"/>
    <col min="9" max="9" width="15.6640625" customWidth="1"/>
    <col min="10" max="10" width="15.5" customWidth="1"/>
    <col min="11" max="11" width="13.1640625" customWidth="1"/>
    <col min="12" max="12" width="13.83203125" customWidth="1"/>
    <col min="13" max="14" width="12" customWidth="1"/>
    <col min="15" max="15" width="15.33203125" customWidth="1"/>
    <col min="16" max="16" width="11.5" customWidth="1"/>
    <col min="17" max="17" width="13.33203125" customWidth="1"/>
    <col min="18" max="19" width="9.33203125" customWidth="1"/>
    <col min="20" max="20" width="11.5" customWidth="1"/>
    <col min="21" max="21" width="13.5" customWidth="1"/>
    <col min="22" max="23" width="12.83203125" customWidth="1"/>
    <col min="29" max="29" width="15" customWidth="1"/>
    <col min="30" max="30" width="15.83203125" customWidth="1"/>
    <col min="33" max="33" width="10.1640625" customWidth="1"/>
    <col min="34" max="37" width="15.83203125" customWidth="1"/>
    <col min="39" max="40" width="11.5" customWidth="1"/>
    <col min="41" max="42" width="13.5" customWidth="1"/>
    <col min="43" max="44" width="10.6640625" customWidth="1"/>
    <col min="45" max="45" width="15.33203125" customWidth="1"/>
    <col min="47" max="47" width="13.33203125" customWidth="1"/>
    <col min="48" max="48" width="14.33203125" customWidth="1"/>
    <col min="49" max="51" width="12.1640625" customWidth="1"/>
    <col min="52" max="52" width="13" customWidth="1"/>
    <col min="53" max="53" width="13.83203125" customWidth="1"/>
    <col min="54" max="56" width="12.5" customWidth="1"/>
    <col min="57" max="57" width="15.6640625" customWidth="1"/>
    <col min="58" max="59" width="12.5" customWidth="1"/>
    <col min="60" max="60" width="13.5" customWidth="1"/>
    <col min="61" max="61" width="12.33203125" customWidth="1"/>
    <col min="62" max="62" width="13" customWidth="1"/>
    <col min="63" max="63" width="14" customWidth="1"/>
    <col min="64" max="64" width="15.33203125" customWidth="1"/>
    <col min="65" max="65" width="14.6640625" customWidth="1"/>
    <col min="66" max="68" width="11.33203125" customWidth="1"/>
    <col min="69" max="69" width="10.33203125" customWidth="1"/>
    <col min="70" max="71" width="14.33203125" customWidth="1"/>
    <col min="72" max="73" width="13.33203125" customWidth="1"/>
    <col min="74" max="75" width="15" customWidth="1"/>
    <col min="76" max="77" width="17.5" customWidth="1"/>
  </cols>
  <sheetData>
    <row r="1" spans="1:77" s="55" customFormat="1" ht="45" customHeight="1" thickBot="1" x14ac:dyDescent="0.25">
      <c r="A1" s="198" t="s">
        <v>404</v>
      </c>
      <c r="B1" s="198"/>
      <c r="C1" s="198"/>
      <c r="D1" s="198"/>
      <c r="E1" s="198"/>
      <c r="F1" s="199"/>
      <c r="G1" s="197" t="s">
        <v>399</v>
      </c>
      <c r="H1" s="198"/>
      <c r="I1" s="198"/>
      <c r="J1" s="198"/>
      <c r="K1" s="198"/>
      <c r="L1" s="199"/>
      <c r="M1" s="197" t="s">
        <v>400</v>
      </c>
      <c r="N1" s="198"/>
      <c r="O1" s="198"/>
      <c r="P1" s="198"/>
      <c r="Q1" s="198"/>
      <c r="R1" s="198"/>
      <c r="S1" s="198"/>
      <c r="T1" s="199"/>
      <c r="U1" s="197" t="s">
        <v>401</v>
      </c>
      <c r="V1" s="198"/>
      <c r="W1" s="198"/>
      <c r="X1" s="198"/>
      <c r="Y1" s="198"/>
      <c r="Z1" s="198"/>
      <c r="AA1" s="198"/>
      <c r="AB1" s="198"/>
      <c r="AC1" s="198"/>
      <c r="AD1" s="198"/>
      <c r="AE1" s="198"/>
      <c r="AF1" s="198"/>
      <c r="AG1" s="198"/>
      <c r="AH1" s="198"/>
      <c r="AI1" s="198"/>
      <c r="AJ1" s="198"/>
      <c r="AK1" s="198"/>
      <c r="AL1" s="199"/>
      <c r="AM1" s="197" t="s">
        <v>402</v>
      </c>
      <c r="AN1" s="198"/>
      <c r="AO1" s="198"/>
      <c r="AP1" s="198"/>
      <c r="AQ1" s="198"/>
      <c r="AR1" s="198"/>
      <c r="AS1" s="198"/>
      <c r="AT1" s="198"/>
      <c r="AU1" s="198"/>
      <c r="AV1" s="198"/>
      <c r="AW1" s="198"/>
      <c r="AX1" s="198"/>
      <c r="AY1" s="198"/>
      <c r="AZ1" s="198"/>
      <c r="BA1" s="199"/>
      <c r="BB1" s="197" t="s">
        <v>1279</v>
      </c>
      <c r="BC1" s="198"/>
      <c r="BD1" s="198"/>
      <c r="BE1" s="198"/>
      <c r="BF1" s="198"/>
      <c r="BG1" s="199"/>
      <c r="BH1" s="197" t="s">
        <v>444</v>
      </c>
      <c r="BI1" s="198"/>
      <c r="BJ1" s="199"/>
      <c r="BK1" s="197" t="s">
        <v>403</v>
      </c>
      <c r="BL1" s="198"/>
      <c r="BM1" s="198"/>
      <c r="BN1" s="198"/>
      <c r="BO1" s="198"/>
      <c r="BP1" s="198"/>
      <c r="BQ1" s="198"/>
      <c r="BR1" s="198"/>
      <c r="BS1" s="198"/>
      <c r="BT1" s="199"/>
      <c r="BU1" s="197" t="s">
        <v>417</v>
      </c>
      <c r="BV1" s="198"/>
      <c r="BW1" s="198"/>
      <c r="BX1" s="199"/>
      <c r="BY1" s="67" t="s">
        <v>410</v>
      </c>
    </row>
    <row r="2" spans="1:77" s="12" customFormat="1" ht="56.25" customHeight="1" thickBot="1" x14ac:dyDescent="0.25">
      <c r="A2" s="44" t="s">
        <v>69</v>
      </c>
      <c r="B2" s="44" t="s">
        <v>72</v>
      </c>
      <c r="C2" s="44" t="s">
        <v>73</v>
      </c>
      <c r="D2" s="44" t="s">
        <v>1274</v>
      </c>
      <c r="E2" s="44" t="s">
        <v>1275</v>
      </c>
      <c r="F2" s="64" t="s">
        <v>77</v>
      </c>
      <c r="G2" s="44" t="s">
        <v>375</v>
      </c>
      <c r="H2" s="44" t="s">
        <v>114</v>
      </c>
      <c r="I2" s="44" t="s">
        <v>269</v>
      </c>
      <c r="J2" s="44" t="s">
        <v>373</v>
      </c>
      <c r="K2" s="44" t="s">
        <v>265</v>
      </c>
      <c r="L2" s="64" t="s">
        <v>266</v>
      </c>
      <c r="M2" s="44" t="s">
        <v>43</v>
      </c>
      <c r="N2" s="44" t="s">
        <v>89</v>
      </c>
      <c r="O2" s="44" t="s">
        <v>90</v>
      </c>
      <c r="P2" s="44" t="s">
        <v>135</v>
      </c>
      <c r="Q2" s="44" t="s">
        <v>116</v>
      </c>
      <c r="R2" s="44" t="s">
        <v>42</v>
      </c>
      <c r="S2" s="44" t="s">
        <v>41</v>
      </c>
      <c r="T2" s="64" t="s">
        <v>78</v>
      </c>
      <c r="U2" s="44" t="s">
        <v>53</v>
      </c>
      <c r="V2" s="44" t="s">
        <v>131</v>
      </c>
      <c r="W2" s="44" t="s">
        <v>503</v>
      </c>
      <c r="X2" s="44" t="s">
        <v>132</v>
      </c>
      <c r="Y2" s="121" t="s">
        <v>46</v>
      </c>
      <c r="Z2" s="44" t="s">
        <v>40</v>
      </c>
      <c r="AA2" s="44" t="s">
        <v>197</v>
      </c>
      <c r="AB2" s="44" t="s">
        <v>39</v>
      </c>
      <c r="AC2" s="44" t="s">
        <v>38</v>
      </c>
      <c r="AD2" s="44" t="s">
        <v>37</v>
      </c>
      <c r="AE2" s="44" t="s">
        <v>36</v>
      </c>
      <c r="AF2" s="44" t="s">
        <v>35</v>
      </c>
      <c r="AG2" s="44" t="s">
        <v>34</v>
      </c>
      <c r="AH2" s="44" t="s">
        <v>590</v>
      </c>
      <c r="AI2" s="44" t="s">
        <v>593</v>
      </c>
      <c r="AJ2" s="44" t="s">
        <v>591</v>
      </c>
      <c r="AK2" s="44" t="s">
        <v>592</v>
      </c>
      <c r="AL2" s="64" t="s">
        <v>256</v>
      </c>
      <c r="AM2" s="44" t="s">
        <v>33</v>
      </c>
      <c r="AN2" s="44" t="s">
        <v>260</v>
      </c>
      <c r="AO2" s="44" t="s">
        <v>32</v>
      </c>
      <c r="AP2" s="44" t="s">
        <v>31</v>
      </c>
      <c r="AQ2" s="44" t="s">
        <v>94</v>
      </c>
      <c r="AR2" s="44" t="s">
        <v>261</v>
      </c>
      <c r="AS2" s="44" t="s">
        <v>29</v>
      </c>
      <c r="AT2" s="44" t="s">
        <v>113</v>
      </c>
      <c r="AU2" s="44" t="s">
        <v>161</v>
      </c>
      <c r="AV2" s="44" t="s">
        <v>564</v>
      </c>
      <c r="AW2" s="44" t="s">
        <v>563</v>
      </c>
      <c r="AX2" s="44" t="s">
        <v>561</v>
      </c>
      <c r="AY2" s="44" t="s">
        <v>562</v>
      </c>
      <c r="AZ2" s="44" t="s">
        <v>378</v>
      </c>
      <c r="BA2" s="64" t="s">
        <v>1291</v>
      </c>
      <c r="BB2" s="44" t="s">
        <v>87</v>
      </c>
      <c r="BC2" s="44" t="s">
        <v>1276</v>
      </c>
      <c r="BD2" s="44" t="s">
        <v>1280</v>
      </c>
      <c r="BE2" s="44" t="s">
        <v>136</v>
      </c>
      <c r="BF2" s="44" t="s">
        <v>262</v>
      </c>
      <c r="BG2" s="64" t="s">
        <v>263</v>
      </c>
      <c r="BH2" s="44" t="s">
        <v>30</v>
      </c>
      <c r="BI2" s="44" t="s">
        <v>446</v>
      </c>
      <c r="BJ2" s="64" t="s">
        <v>394</v>
      </c>
      <c r="BK2" s="44" t="s">
        <v>85</v>
      </c>
      <c r="BL2" s="44" t="s">
        <v>133</v>
      </c>
      <c r="BM2" s="44" t="s">
        <v>117</v>
      </c>
      <c r="BN2" s="44" t="s">
        <v>118</v>
      </c>
      <c r="BO2" s="44" t="s">
        <v>492</v>
      </c>
      <c r="BP2" s="44" t="s">
        <v>493</v>
      </c>
      <c r="BQ2" s="44" t="s">
        <v>86</v>
      </c>
      <c r="BR2" s="44" t="s">
        <v>119</v>
      </c>
      <c r="BS2" s="102" t="s">
        <v>509</v>
      </c>
      <c r="BT2" s="64" t="s">
        <v>115</v>
      </c>
      <c r="BU2" s="44" t="s">
        <v>170</v>
      </c>
      <c r="BV2" s="44" t="s">
        <v>196</v>
      </c>
      <c r="BW2" s="44" t="s">
        <v>369</v>
      </c>
      <c r="BX2" s="64" t="s">
        <v>1419</v>
      </c>
      <c r="BY2" s="64" t="s">
        <v>430</v>
      </c>
    </row>
    <row r="3" spans="1:77" x14ac:dyDescent="0.2">
      <c r="A3" s="18" t="s">
        <v>601</v>
      </c>
      <c r="B3" s="61" t="s">
        <v>1242</v>
      </c>
      <c r="C3" s="17" t="s">
        <v>122</v>
      </c>
      <c r="D3" s="164" t="s">
        <v>282</v>
      </c>
      <c r="E3" s="164" t="s">
        <v>123</v>
      </c>
      <c r="F3" s="63" t="s">
        <v>22</v>
      </c>
      <c r="G3" s="19" t="s">
        <v>376</v>
      </c>
      <c r="H3" s="29" t="b">
        <v>1</v>
      </c>
      <c r="I3" s="37" t="s">
        <v>79</v>
      </c>
      <c r="J3" s="17" t="s">
        <v>79</v>
      </c>
      <c r="K3" s="29" t="b">
        <v>0</v>
      </c>
      <c r="L3" s="70">
        <v>0</v>
      </c>
      <c r="M3" s="19">
        <v>500</v>
      </c>
      <c r="N3" s="29">
        <v>0</v>
      </c>
      <c r="O3" s="29">
        <v>0</v>
      </c>
      <c r="P3" s="29">
        <v>0</v>
      </c>
      <c r="Q3" s="29">
        <v>0</v>
      </c>
      <c r="R3" s="31">
        <v>0.96899999999999997</v>
      </c>
      <c r="S3" s="31">
        <v>0.5</v>
      </c>
      <c r="T3" s="72">
        <v>3.1E-2</v>
      </c>
      <c r="U3" s="29" t="s">
        <v>68</v>
      </c>
      <c r="V3" s="29">
        <v>0</v>
      </c>
      <c r="W3" s="75">
        <v>1</v>
      </c>
      <c r="X3" s="29" t="s">
        <v>68</v>
      </c>
      <c r="Y3" s="29" t="s">
        <v>68</v>
      </c>
      <c r="Z3" s="29">
        <v>0</v>
      </c>
      <c r="AA3" s="29">
        <v>0</v>
      </c>
      <c r="AB3" s="29" t="s">
        <v>68</v>
      </c>
      <c r="AC3" s="29" t="s">
        <v>68</v>
      </c>
      <c r="AD3" s="29" t="s">
        <v>568</v>
      </c>
      <c r="AE3" s="53">
        <v>3.2841</v>
      </c>
      <c r="AF3" s="53">
        <v>139.29750000000001</v>
      </c>
      <c r="AG3" s="53">
        <v>139.29750000000001</v>
      </c>
      <c r="AH3" s="31">
        <v>0.3</v>
      </c>
      <c r="AI3" s="31">
        <v>0.24</v>
      </c>
      <c r="AJ3" s="29">
        <v>0.18</v>
      </c>
      <c r="AK3" s="29">
        <v>0.15</v>
      </c>
      <c r="AL3" s="62">
        <v>58</v>
      </c>
      <c r="AM3" s="31">
        <v>7.1239999999999997</v>
      </c>
      <c r="AN3" s="31">
        <v>0.11</v>
      </c>
      <c r="AO3" s="31">
        <v>1</v>
      </c>
      <c r="AP3" s="31">
        <v>1</v>
      </c>
      <c r="AQ3" s="30">
        <v>0.08</v>
      </c>
      <c r="AR3" s="30">
        <v>0.25</v>
      </c>
      <c r="AS3" s="29">
        <v>5.31</v>
      </c>
      <c r="AT3" s="29">
        <v>0</v>
      </c>
      <c r="AU3" s="29">
        <v>0</v>
      </c>
      <c r="AV3" s="71">
        <v>3.7828439999999991E-2</v>
      </c>
      <c r="AW3" s="71">
        <v>0</v>
      </c>
      <c r="AX3" s="71">
        <v>0</v>
      </c>
      <c r="AY3" s="71">
        <v>0</v>
      </c>
      <c r="AZ3" s="19">
        <v>0.87</v>
      </c>
      <c r="BA3" s="65">
        <v>4.97</v>
      </c>
      <c r="BB3" s="29" t="b">
        <v>0</v>
      </c>
      <c r="BC3" s="29" t="b">
        <v>0</v>
      </c>
      <c r="BD3" s="29" t="s">
        <v>79</v>
      </c>
      <c r="BE3" s="29" t="b">
        <v>0</v>
      </c>
      <c r="BF3" s="29" t="b">
        <v>0</v>
      </c>
      <c r="BG3" s="62" t="b">
        <v>0</v>
      </c>
      <c r="BH3" s="30">
        <v>0.96899999999999997</v>
      </c>
      <c r="BI3" s="29" t="b">
        <v>0</v>
      </c>
      <c r="BJ3" s="62" t="s">
        <v>393</v>
      </c>
      <c r="BK3" s="29" t="b">
        <v>0</v>
      </c>
      <c r="BL3" s="29" t="b">
        <v>0</v>
      </c>
      <c r="BM3" s="29">
        <v>50</v>
      </c>
      <c r="BN3" s="29">
        <v>0</v>
      </c>
      <c r="BO3" s="29">
        <v>0</v>
      </c>
      <c r="BP3" s="29">
        <v>0</v>
      </c>
      <c r="BQ3" s="29" t="b">
        <v>0</v>
      </c>
      <c r="BR3" s="29">
        <v>0</v>
      </c>
      <c r="BS3" s="53">
        <v>0.1164</v>
      </c>
      <c r="BT3" s="62" t="b">
        <v>0</v>
      </c>
      <c r="BU3" s="29" t="b">
        <v>0</v>
      </c>
      <c r="BV3" s="29" t="b">
        <v>0</v>
      </c>
      <c r="BW3" s="29" t="s">
        <v>79</v>
      </c>
      <c r="BX3" s="62" t="b">
        <v>0</v>
      </c>
      <c r="BY3" s="62" t="s">
        <v>432</v>
      </c>
    </row>
    <row r="4" spans="1:77" x14ac:dyDescent="0.2">
      <c r="A4" s="18" t="s">
        <v>602</v>
      </c>
      <c r="B4" s="61" t="s">
        <v>1243</v>
      </c>
      <c r="C4" s="17" t="s">
        <v>122</v>
      </c>
      <c r="D4" s="164" t="s">
        <v>282</v>
      </c>
      <c r="E4" s="164" t="s">
        <v>123</v>
      </c>
      <c r="F4" s="63" t="s">
        <v>22</v>
      </c>
      <c r="G4" s="19" t="s">
        <v>376</v>
      </c>
      <c r="H4" s="29" t="b">
        <v>1</v>
      </c>
      <c r="I4" s="37" t="s">
        <v>79</v>
      </c>
      <c r="J4" s="17" t="s">
        <v>79</v>
      </c>
      <c r="K4" s="29" t="b">
        <v>0</v>
      </c>
      <c r="L4" s="70">
        <v>0</v>
      </c>
      <c r="M4" s="19">
        <v>500</v>
      </c>
      <c r="N4" s="29">
        <v>0</v>
      </c>
      <c r="O4" s="29">
        <v>0</v>
      </c>
      <c r="P4" s="29">
        <v>0</v>
      </c>
      <c r="Q4" s="29">
        <v>0</v>
      </c>
      <c r="R4" s="31">
        <v>0.96899999999999997</v>
      </c>
      <c r="S4" s="31">
        <v>0.47</v>
      </c>
      <c r="T4" s="72">
        <v>3.1E-2</v>
      </c>
      <c r="U4" s="29" t="s">
        <v>68</v>
      </c>
      <c r="V4" s="29">
        <v>0</v>
      </c>
      <c r="W4" s="75">
        <v>1</v>
      </c>
      <c r="X4" s="29" t="s">
        <v>68</v>
      </c>
      <c r="Y4" s="29" t="s">
        <v>68</v>
      </c>
      <c r="Z4" s="29">
        <v>0</v>
      </c>
      <c r="AA4" s="29">
        <v>0</v>
      </c>
      <c r="AB4" s="29" t="s">
        <v>68</v>
      </c>
      <c r="AC4" s="29" t="s">
        <v>68</v>
      </c>
      <c r="AD4" s="29" t="s">
        <v>568</v>
      </c>
      <c r="AE4" s="53">
        <v>3.2841</v>
      </c>
      <c r="AF4" s="53">
        <v>139.29750000000001</v>
      </c>
      <c r="AG4" s="53">
        <v>139.29750000000001</v>
      </c>
      <c r="AH4" s="31">
        <v>0.3</v>
      </c>
      <c r="AI4" s="31">
        <v>0.24</v>
      </c>
      <c r="AJ4" s="29">
        <v>0.18</v>
      </c>
      <c r="AK4" s="29">
        <v>0.15</v>
      </c>
      <c r="AL4" s="62">
        <v>58</v>
      </c>
      <c r="AM4" s="31">
        <v>8.2430000000000003</v>
      </c>
      <c r="AN4" s="31">
        <v>8.0000000000000002E-3</v>
      </c>
      <c r="AO4" s="31">
        <v>0.08</v>
      </c>
      <c r="AP4" s="31">
        <v>0.08</v>
      </c>
      <c r="AQ4" s="30">
        <v>0.08</v>
      </c>
      <c r="AR4" s="30">
        <v>0.25</v>
      </c>
      <c r="AS4" s="130">
        <v>53.06</v>
      </c>
      <c r="AT4" s="29">
        <v>0</v>
      </c>
      <c r="AU4" s="29">
        <v>0</v>
      </c>
      <c r="AV4" s="71">
        <v>0.43737357999999998</v>
      </c>
      <c r="AW4" s="71">
        <v>0</v>
      </c>
      <c r="AX4" s="71">
        <v>0</v>
      </c>
      <c r="AY4" s="71">
        <v>0</v>
      </c>
      <c r="AZ4" s="19">
        <v>0.87</v>
      </c>
      <c r="BA4" s="65">
        <v>4.97</v>
      </c>
      <c r="BB4" s="29" t="b">
        <v>0</v>
      </c>
      <c r="BC4" s="29" t="b">
        <v>0</v>
      </c>
      <c r="BD4" s="29" t="s">
        <v>79</v>
      </c>
      <c r="BE4" s="29" t="b">
        <v>0</v>
      </c>
      <c r="BF4" s="29" t="b">
        <v>0</v>
      </c>
      <c r="BG4" s="62" t="b">
        <v>0</v>
      </c>
      <c r="BH4" s="30">
        <v>0.96899999999999997</v>
      </c>
      <c r="BI4" s="29" t="b">
        <v>0</v>
      </c>
      <c r="BJ4" s="62" t="s">
        <v>393</v>
      </c>
      <c r="BK4" s="29" t="b">
        <v>0</v>
      </c>
      <c r="BL4" s="29" t="b">
        <v>0</v>
      </c>
      <c r="BM4" s="29">
        <v>100</v>
      </c>
      <c r="BN4" s="29">
        <v>0</v>
      </c>
      <c r="BO4" s="29">
        <v>0</v>
      </c>
      <c r="BP4" s="29">
        <v>0</v>
      </c>
      <c r="BQ4" s="29" t="b">
        <v>0</v>
      </c>
      <c r="BR4" s="29">
        <v>0</v>
      </c>
      <c r="BS4" s="53">
        <v>0</v>
      </c>
      <c r="BT4" s="62" t="b">
        <v>0</v>
      </c>
      <c r="BU4" s="29" t="b">
        <v>0</v>
      </c>
      <c r="BV4" s="29" t="b">
        <v>0</v>
      </c>
      <c r="BW4" s="29" t="s">
        <v>79</v>
      </c>
      <c r="BX4" s="62" t="b">
        <v>0</v>
      </c>
      <c r="BY4" s="62" t="s">
        <v>432</v>
      </c>
    </row>
    <row r="5" spans="1:77" x14ac:dyDescent="0.2">
      <c r="A5" s="18" t="s">
        <v>603</v>
      </c>
      <c r="B5" s="61" t="s">
        <v>1244</v>
      </c>
      <c r="C5" s="17" t="s">
        <v>122</v>
      </c>
      <c r="D5" s="164" t="s">
        <v>282</v>
      </c>
      <c r="E5" s="164" t="s">
        <v>124</v>
      </c>
      <c r="F5" s="63" t="s">
        <v>22</v>
      </c>
      <c r="G5" s="19" t="s">
        <v>376</v>
      </c>
      <c r="H5" s="29" t="b">
        <v>1</v>
      </c>
      <c r="I5" s="37" t="s">
        <v>79</v>
      </c>
      <c r="J5" s="17" t="s">
        <v>79</v>
      </c>
      <c r="K5" s="29" t="b">
        <v>0</v>
      </c>
      <c r="L5" s="70">
        <v>0</v>
      </c>
      <c r="M5" s="19">
        <v>300</v>
      </c>
      <c r="N5" s="29">
        <v>0</v>
      </c>
      <c r="O5" s="29">
        <v>0</v>
      </c>
      <c r="P5" s="29">
        <v>0</v>
      </c>
      <c r="Q5" s="29">
        <v>0</v>
      </c>
      <c r="R5" s="31">
        <v>0.96799999999999997</v>
      </c>
      <c r="S5" s="31">
        <v>0.45</v>
      </c>
      <c r="T5" s="72">
        <v>3.2000000000000001E-2</v>
      </c>
      <c r="U5" s="29" t="s">
        <v>68</v>
      </c>
      <c r="V5" s="29">
        <v>0</v>
      </c>
      <c r="W5" s="75">
        <v>1</v>
      </c>
      <c r="X5" s="29" t="s">
        <v>68</v>
      </c>
      <c r="Y5" s="29" t="s">
        <v>68</v>
      </c>
      <c r="Z5" s="29">
        <v>0</v>
      </c>
      <c r="AA5" s="29">
        <v>0</v>
      </c>
      <c r="AB5" s="29" t="s">
        <v>68</v>
      </c>
      <c r="AC5" s="29" t="s">
        <v>68</v>
      </c>
      <c r="AD5" s="29" t="s">
        <v>568</v>
      </c>
      <c r="AE5" s="53">
        <v>3.5424000000000002</v>
      </c>
      <c r="AF5" s="53">
        <v>139.29750000000001</v>
      </c>
      <c r="AG5" s="53">
        <v>139.29750000000001</v>
      </c>
      <c r="AH5" s="31">
        <v>0.3</v>
      </c>
      <c r="AI5" s="31">
        <v>0.24</v>
      </c>
      <c r="AJ5" s="29">
        <v>0.18</v>
      </c>
      <c r="AK5" s="29">
        <v>0.15</v>
      </c>
      <c r="AL5" s="62">
        <v>50</v>
      </c>
      <c r="AM5" s="31">
        <v>9.9049999999999994</v>
      </c>
      <c r="AN5" s="31">
        <v>0.14000000000000001</v>
      </c>
      <c r="AO5" s="31">
        <v>1</v>
      </c>
      <c r="AP5" s="31">
        <v>1</v>
      </c>
      <c r="AQ5" s="30">
        <v>0.15</v>
      </c>
      <c r="AR5" s="30">
        <v>1</v>
      </c>
      <c r="AS5" s="130">
        <v>53.06</v>
      </c>
      <c r="AT5" s="29">
        <v>0</v>
      </c>
      <c r="AU5" s="29">
        <v>0</v>
      </c>
      <c r="AV5" s="71">
        <v>0.52555930000000006</v>
      </c>
      <c r="AW5" s="71">
        <v>0</v>
      </c>
      <c r="AX5" s="71">
        <v>0</v>
      </c>
      <c r="AY5" s="71">
        <v>0</v>
      </c>
      <c r="AZ5" s="19">
        <v>0.87</v>
      </c>
      <c r="BA5" s="65">
        <v>5.29</v>
      </c>
      <c r="BB5" s="29" t="b">
        <v>0</v>
      </c>
      <c r="BC5" s="29" t="b">
        <v>0</v>
      </c>
      <c r="BD5" s="29" t="s">
        <v>79</v>
      </c>
      <c r="BE5" s="29" t="b">
        <v>0</v>
      </c>
      <c r="BF5" s="29" t="b">
        <v>0</v>
      </c>
      <c r="BG5" s="62" t="b">
        <v>0</v>
      </c>
      <c r="BH5" s="30">
        <v>0.96799999999999997</v>
      </c>
      <c r="BI5" s="29" t="b">
        <v>0</v>
      </c>
      <c r="BJ5" s="62" t="s">
        <v>392</v>
      </c>
      <c r="BK5" s="29" t="b">
        <v>1</v>
      </c>
      <c r="BL5" s="29" t="b">
        <v>0</v>
      </c>
      <c r="BM5" s="29">
        <v>100</v>
      </c>
      <c r="BN5" s="29">
        <v>0</v>
      </c>
      <c r="BO5" s="29">
        <v>0</v>
      </c>
      <c r="BP5" s="29">
        <v>0</v>
      </c>
      <c r="BQ5" s="29" t="b">
        <v>0</v>
      </c>
      <c r="BR5" s="29">
        <v>0</v>
      </c>
      <c r="BS5" s="53">
        <v>0.1164</v>
      </c>
      <c r="BT5" s="62" t="b">
        <v>0</v>
      </c>
      <c r="BU5" s="29" t="b">
        <v>0</v>
      </c>
      <c r="BV5" s="29" t="b">
        <v>0</v>
      </c>
      <c r="BW5" s="29" t="s">
        <v>79</v>
      </c>
      <c r="BX5" s="62" t="b">
        <v>0</v>
      </c>
      <c r="BY5" s="62" t="s">
        <v>432</v>
      </c>
    </row>
    <row r="6" spans="1:77" x14ac:dyDescent="0.2">
      <c r="A6" s="18" t="s">
        <v>604</v>
      </c>
      <c r="B6" s="61" t="s">
        <v>1245</v>
      </c>
      <c r="C6" s="17" t="s">
        <v>76</v>
      </c>
      <c r="D6" s="164" t="s">
        <v>25</v>
      </c>
      <c r="E6" s="164" t="s">
        <v>25</v>
      </c>
      <c r="F6" s="63" t="s">
        <v>605</v>
      </c>
      <c r="G6" s="19" t="s">
        <v>376</v>
      </c>
      <c r="H6" s="29" t="b">
        <v>1</v>
      </c>
      <c r="I6" s="37" t="s">
        <v>79</v>
      </c>
      <c r="J6" s="17" t="s">
        <v>79</v>
      </c>
      <c r="K6" s="29" t="b">
        <v>1</v>
      </c>
      <c r="L6" s="70">
        <v>0.5</v>
      </c>
      <c r="M6" s="19">
        <v>1200</v>
      </c>
      <c r="N6" s="29">
        <v>0</v>
      </c>
      <c r="O6" s="29">
        <v>0</v>
      </c>
      <c r="P6" s="29">
        <v>0</v>
      </c>
      <c r="Q6" s="29">
        <v>0</v>
      </c>
      <c r="R6" s="31">
        <v>0.97</v>
      </c>
      <c r="S6" s="31">
        <v>0.2</v>
      </c>
      <c r="T6" s="72">
        <v>0.03</v>
      </c>
      <c r="U6" s="29" t="s">
        <v>68</v>
      </c>
      <c r="V6" s="29">
        <v>0</v>
      </c>
      <c r="W6" s="75">
        <v>1</v>
      </c>
      <c r="X6" s="29" t="s">
        <v>68</v>
      </c>
      <c r="Y6" s="29" t="s">
        <v>68</v>
      </c>
      <c r="Z6" s="29">
        <v>0</v>
      </c>
      <c r="AA6" s="29">
        <v>0</v>
      </c>
      <c r="AB6" s="29" t="s">
        <v>68</v>
      </c>
      <c r="AC6" s="29" t="s">
        <v>68</v>
      </c>
      <c r="AD6" s="29" t="s">
        <v>568</v>
      </c>
      <c r="AE6" s="53">
        <v>0</v>
      </c>
      <c r="AF6" s="53">
        <v>83.052199999999999</v>
      </c>
      <c r="AG6" s="53">
        <v>83.052199999999999</v>
      </c>
      <c r="AH6" s="31">
        <v>0.3</v>
      </c>
      <c r="AI6" s="31">
        <v>0.24</v>
      </c>
      <c r="AJ6" s="29">
        <v>0.18</v>
      </c>
      <c r="AK6" s="29">
        <v>0.15</v>
      </c>
      <c r="AL6" s="62">
        <v>55</v>
      </c>
      <c r="AM6" s="31">
        <v>10.608000000000001</v>
      </c>
      <c r="AN6" s="31">
        <v>0.05</v>
      </c>
      <c r="AO6" s="31">
        <v>0.5</v>
      </c>
      <c r="AP6" s="31">
        <v>0.5</v>
      </c>
      <c r="AQ6" s="30">
        <v>0.03</v>
      </c>
      <c r="AR6" s="30">
        <v>0.05</v>
      </c>
      <c r="AS6" s="29">
        <v>0</v>
      </c>
      <c r="AT6" s="29">
        <v>0</v>
      </c>
      <c r="AU6" s="29">
        <v>0</v>
      </c>
      <c r="AV6" s="71">
        <v>0</v>
      </c>
      <c r="AW6" s="71">
        <v>0</v>
      </c>
      <c r="AX6" s="71">
        <v>0</v>
      </c>
      <c r="AY6" s="71">
        <v>0</v>
      </c>
      <c r="AZ6" s="19">
        <v>0.91</v>
      </c>
      <c r="BA6" s="65">
        <v>4.07</v>
      </c>
      <c r="BB6" s="29" t="b">
        <v>0</v>
      </c>
      <c r="BC6" s="29" t="b">
        <v>0</v>
      </c>
      <c r="BD6" s="29" t="s">
        <v>79</v>
      </c>
      <c r="BE6" s="29" t="b">
        <v>1</v>
      </c>
      <c r="BF6" s="29" t="b">
        <v>0</v>
      </c>
      <c r="BG6" s="62" t="b">
        <v>0</v>
      </c>
      <c r="BH6" s="30">
        <v>0.97</v>
      </c>
      <c r="BI6" s="29" t="b">
        <v>0</v>
      </c>
      <c r="BJ6" s="62" t="s">
        <v>25</v>
      </c>
      <c r="BK6" s="29" t="b">
        <v>0</v>
      </c>
      <c r="BL6" s="29" t="b">
        <v>0</v>
      </c>
      <c r="BM6" s="29">
        <v>3</v>
      </c>
      <c r="BN6" s="29">
        <v>0</v>
      </c>
      <c r="BO6" s="29">
        <v>0</v>
      </c>
      <c r="BP6" s="29">
        <v>0</v>
      </c>
      <c r="BQ6" s="29" t="b">
        <v>0</v>
      </c>
      <c r="BR6" s="29">
        <v>0</v>
      </c>
      <c r="BS6" s="53">
        <v>0.90100000000000002</v>
      </c>
      <c r="BT6" s="62" t="b">
        <v>0</v>
      </c>
      <c r="BU6" s="29" t="b">
        <v>0</v>
      </c>
      <c r="BV6" s="29" t="b">
        <v>0</v>
      </c>
      <c r="BW6" s="29" t="s">
        <v>79</v>
      </c>
      <c r="BX6" s="62" t="b">
        <v>0</v>
      </c>
      <c r="BY6" s="62" t="s">
        <v>432</v>
      </c>
    </row>
    <row r="7" spans="1:77" x14ac:dyDescent="0.2">
      <c r="A7" s="18" t="s">
        <v>606</v>
      </c>
      <c r="B7" s="61" t="s">
        <v>1246</v>
      </c>
      <c r="C7" s="17" t="s">
        <v>71</v>
      </c>
      <c r="D7" s="164" t="s">
        <v>26</v>
      </c>
      <c r="E7" s="164" t="s">
        <v>26</v>
      </c>
      <c r="F7" s="63" t="s">
        <v>607</v>
      </c>
      <c r="G7" s="19" t="s">
        <v>376</v>
      </c>
      <c r="H7" s="29" t="b">
        <v>0</v>
      </c>
      <c r="I7" s="37" t="s">
        <v>79</v>
      </c>
      <c r="J7" s="17" t="s">
        <v>374</v>
      </c>
      <c r="K7" s="29" t="b">
        <v>0</v>
      </c>
      <c r="L7" s="70">
        <v>0</v>
      </c>
      <c r="M7" s="19">
        <v>200</v>
      </c>
      <c r="N7" s="29">
        <v>0</v>
      </c>
      <c r="O7" s="29">
        <v>0</v>
      </c>
      <c r="P7" s="29">
        <v>0</v>
      </c>
      <c r="Q7" s="29">
        <v>0</v>
      </c>
      <c r="R7" s="31">
        <v>1</v>
      </c>
      <c r="S7" s="31">
        <v>0</v>
      </c>
      <c r="T7" s="72">
        <v>0</v>
      </c>
      <c r="U7" s="29" t="s">
        <v>68</v>
      </c>
      <c r="V7" s="29">
        <v>0</v>
      </c>
      <c r="W7" s="75">
        <v>1</v>
      </c>
      <c r="X7" s="29" t="s">
        <v>68</v>
      </c>
      <c r="Y7" s="29" t="s">
        <v>68</v>
      </c>
      <c r="Z7" s="29">
        <v>0</v>
      </c>
      <c r="AA7" s="29">
        <v>0</v>
      </c>
      <c r="AB7" s="29" t="s">
        <v>68</v>
      </c>
      <c r="AC7" s="29">
        <v>0</v>
      </c>
      <c r="AD7" s="29">
        <v>0</v>
      </c>
      <c r="AE7" s="53">
        <v>0</v>
      </c>
      <c r="AF7" s="53">
        <v>0</v>
      </c>
      <c r="AG7" s="53">
        <v>0</v>
      </c>
      <c r="AH7" s="31">
        <v>0.3</v>
      </c>
      <c r="AI7" s="31">
        <v>0.24</v>
      </c>
      <c r="AJ7" s="29">
        <v>0.18</v>
      </c>
      <c r="AK7" s="29">
        <v>0.15</v>
      </c>
      <c r="AL7" s="62">
        <v>30</v>
      </c>
      <c r="AM7" s="31">
        <v>0</v>
      </c>
      <c r="AN7" s="31">
        <v>1</v>
      </c>
      <c r="AO7" s="31">
        <v>1</v>
      </c>
      <c r="AP7" s="31">
        <v>1</v>
      </c>
      <c r="AQ7" s="30">
        <v>0.2</v>
      </c>
      <c r="AR7" s="30">
        <v>0.2</v>
      </c>
      <c r="AS7" s="29">
        <v>0</v>
      </c>
      <c r="AT7" s="29">
        <v>0</v>
      </c>
      <c r="AU7" s="29">
        <v>0</v>
      </c>
      <c r="AV7" s="71">
        <v>0</v>
      </c>
      <c r="AW7" s="71">
        <v>0</v>
      </c>
      <c r="AX7" s="71">
        <v>0</v>
      </c>
      <c r="AY7" s="71">
        <v>0</v>
      </c>
      <c r="AZ7" s="19">
        <v>0.98</v>
      </c>
      <c r="BA7" s="65">
        <v>0</v>
      </c>
      <c r="BB7" s="29" t="b">
        <v>1</v>
      </c>
      <c r="BC7" s="29" t="b">
        <v>0</v>
      </c>
      <c r="BD7" s="29" t="s">
        <v>128</v>
      </c>
      <c r="BE7" s="29" t="b">
        <v>1</v>
      </c>
      <c r="BF7" s="29" t="b">
        <v>1</v>
      </c>
      <c r="BG7" s="62" t="b">
        <v>0</v>
      </c>
      <c r="BH7" s="30" t="s">
        <v>128</v>
      </c>
      <c r="BI7" s="29" t="b">
        <v>0</v>
      </c>
      <c r="BJ7" s="74">
        <v>6.9200000000000002E-4</v>
      </c>
      <c r="BK7" s="29" t="b">
        <v>0</v>
      </c>
      <c r="BL7" s="29" t="b">
        <v>0</v>
      </c>
      <c r="BM7" s="29">
        <v>300</v>
      </c>
      <c r="BN7" s="29">
        <v>0</v>
      </c>
      <c r="BO7" s="29">
        <v>0</v>
      </c>
      <c r="BP7" s="29">
        <v>0</v>
      </c>
      <c r="BQ7" s="29" t="b">
        <v>0</v>
      </c>
      <c r="BR7" s="29">
        <v>0</v>
      </c>
      <c r="BS7" s="53">
        <v>8.1</v>
      </c>
      <c r="BT7" s="62" t="b">
        <v>0</v>
      </c>
      <c r="BU7" s="29" t="b">
        <v>0</v>
      </c>
      <c r="BV7" s="29" t="b">
        <v>0</v>
      </c>
      <c r="BW7" s="29" t="s">
        <v>128</v>
      </c>
      <c r="BX7" s="62" t="b">
        <v>0</v>
      </c>
      <c r="BY7" s="62" t="s">
        <v>432</v>
      </c>
    </row>
    <row r="8" spans="1:77" x14ac:dyDescent="0.2">
      <c r="A8" s="18" t="s">
        <v>608</v>
      </c>
      <c r="B8" s="61" t="s">
        <v>1247</v>
      </c>
      <c r="C8" s="17" t="s">
        <v>1271</v>
      </c>
      <c r="D8" s="164" t="s">
        <v>27</v>
      </c>
      <c r="E8" s="164" t="s">
        <v>27</v>
      </c>
      <c r="F8" s="63" t="s">
        <v>609</v>
      </c>
      <c r="G8" s="19" t="s">
        <v>376</v>
      </c>
      <c r="H8" s="29" t="b">
        <v>0</v>
      </c>
      <c r="I8" s="37" t="s">
        <v>79</v>
      </c>
      <c r="J8" s="17" t="s">
        <v>374</v>
      </c>
      <c r="K8" s="29" t="b">
        <v>0</v>
      </c>
      <c r="L8" s="70">
        <v>0</v>
      </c>
      <c r="M8" s="19">
        <v>300</v>
      </c>
      <c r="N8" s="29">
        <v>0</v>
      </c>
      <c r="O8" s="29">
        <v>0</v>
      </c>
      <c r="P8" s="29">
        <v>0</v>
      </c>
      <c r="Q8" s="29">
        <v>0</v>
      </c>
      <c r="R8" s="31">
        <v>1</v>
      </c>
      <c r="S8" s="31">
        <v>0</v>
      </c>
      <c r="T8" s="72">
        <v>0</v>
      </c>
      <c r="U8" s="29" t="s">
        <v>68</v>
      </c>
      <c r="V8" s="29">
        <v>0</v>
      </c>
      <c r="W8" s="75">
        <v>1</v>
      </c>
      <c r="X8" s="29" t="s">
        <v>68</v>
      </c>
      <c r="Y8" s="29" t="s">
        <v>68</v>
      </c>
      <c r="Z8" s="29">
        <v>0</v>
      </c>
      <c r="AA8" s="29">
        <v>0</v>
      </c>
      <c r="AB8" s="29" t="s">
        <v>68</v>
      </c>
      <c r="AC8" s="29">
        <v>0</v>
      </c>
      <c r="AD8" s="29">
        <v>0</v>
      </c>
      <c r="AE8" s="53">
        <v>0</v>
      </c>
      <c r="AF8" s="53">
        <v>0</v>
      </c>
      <c r="AG8" s="53">
        <v>0</v>
      </c>
      <c r="AH8" s="31">
        <v>0.3</v>
      </c>
      <c r="AI8" s="31">
        <v>0.24</v>
      </c>
      <c r="AJ8" s="29">
        <v>0.18</v>
      </c>
      <c r="AK8" s="29">
        <v>0.15</v>
      </c>
      <c r="AL8" s="62">
        <v>30</v>
      </c>
      <c r="AM8" s="31">
        <v>0</v>
      </c>
      <c r="AN8" s="31">
        <v>1</v>
      </c>
      <c r="AO8" s="31">
        <v>1</v>
      </c>
      <c r="AP8" s="31">
        <v>1</v>
      </c>
      <c r="AQ8" s="30">
        <v>0.15</v>
      </c>
      <c r="AR8" s="30">
        <v>0.2</v>
      </c>
      <c r="AS8" s="29">
        <v>0</v>
      </c>
      <c r="AT8" s="29">
        <v>0</v>
      </c>
      <c r="AU8" s="29">
        <v>0</v>
      </c>
      <c r="AV8" s="71">
        <v>0</v>
      </c>
      <c r="AW8" s="71">
        <v>0</v>
      </c>
      <c r="AX8" s="71">
        <v>0</v>
      </c>
      <c r="AY8" s="71">
        <v>0</v>
      </c>
      <c r="AZ8" s="19">
        <v>0.93</v>
      </c>
      <c r="BA8" s="65">
        <v>0</v>
      </c>
      <c r="BB8" s="29" t="b">
        <v>1</v>
      </c>
      <c r="BC8" s="29" t="b">
        <v>0</v>
      </c>
      <c r="BD8" s="29" t="s">
        <v>138</v>
      </c>
      <c r="BE8" s="29" t="b">
        <v>1</v>
      </c>
      <c r="BF8" s="29" t="b">
        <v>0</v>
      </c>
      <c r="BG8" s="62" t="b">
        <v>0</v>
      </c>
      <c r="BH8" s="30" t="s">
        <v>138</v>
      </c>
      <c r="BI8" s="29" t="b">
        <v>0</v>
      </c>
      <c r="BJ8" s="74">
        <v>6.9200000000000002E-4</v>
      </c>
      <c r="BK8" s="29" t="b">
        <v>0</v>
      </c>
      <c r="BL8" s="29" t="b">
        <v>0</v>
      </c>
      <c r="BM8" s="29">
        <v>300</v>
      </c>
      <c r="BN8" s="29">
        <v>0</v>
      </c>
      <c r="BO8" s="29">
        <v>0</v>
      </c>
      <c r="BP8" s="29">
        <v>0</v>
      </c>
      <c r="BQ8" s="29" t="b">
        <v>0</v>
      </c>
      <c r="BR8" s="29">
        <v>0</v>
      </c>
      <c r="BS8" s="53">
        <v>3.5</v>
      </c>
      <c r="BT8" s="62" t="b">
        <v>0</v>
      </c>
      <c r="BU8" s="29" t="b">
        <v>0</v>
      </c>
      <c r="BV8" s="29" t="b">
        <v>0</v>
      </c>
      <c r="BW8" s="29" t="s">
        <v>138</v>
      </c>
      <c r="BX8" s="62" t="b">
        <v>0</v>
      </c>
      <c r="BY8" s="62" t="s">
        <v>432</v>
      </c>
    </row>
    <row r="9" spans="1:77" x14ac:dyDescent="0.2">
      <c r="A9" s="18" t="s">
        <v>610</v>
      </c>
      <c r="B9" s="61" t="s">
        <v>1248</v>
      </c>
      <c r="C9" s="17" t="s">
        <v>1272</v>
      </c>
      <c r="D9" s="164" t="s">
        <v>27</v>
      </c>
      <c r="E9" s="164" t="s">
        <v>27</v>
      </c>
      <c r="F9" s="63" t="s">
        <v>609</v>
      </c>
      <c r="G9" s="19" t="s">
        <v>376</v>
      </c>
      <c r="H9" s="29" t="b">
        <v>0</v>
      </c>
      <c r="I9" s="37" t="s">
        <v>79</v>
      </c>
      <c r="J9" s="17" t="s">
        <v>374</v>
      </c>
      <c r="K9" s="29" t="b">
        <v>0</v>
      </c>
      <c r="L9" s="70">
        <v>0</v>
      </c>
      <c r="M9" s="19">
        <v>300</v>
      </c>
      <c r="N9" s="29">
        <v>0</v>
      </c>
      <c r="O9" s="29">
        <v>0</v>
      </c>
      <c r="P9" s="29">
        <v>0</v>
      </c>
      <c r="Q9" s="29">
        <v>0</v>
      </c>
      <c r="R9" s="31">
        <v>1</v>
      </c>
      <c r="S9" s="31">
        <v>0</v>
      </c>
      <c r="T9" s="72">
        <v>0</v>
      </c>
      <c r="U9" s="29" t="s">
        <v>68</v>
      </c>
      <c r="V9" s="29">
        <v>0</v>
      </c>
      <c r="W9" s="75">
        <v>1</v>
      </c>
      <c r="X9" s="29" t="s">
        <v>68</v>
      </c>
      <c r="Y9" s="29" t="s">
        <v>68</v>
      </c>
      <c r="Z9" s="29">
        <v>0</v>
      </c>
      <c r="AA9" s="29">
        <v>0</v>
      </c>
      <c r="AB9" s="29" t="s">
        <v>68</v>
      </c>
      <c r="AC9" s="29">
        <v>0</v>
      </c>
      <c r="AD9" s="29">
        <v>0</v>
      </c>
      <c r="AE9" s="53">
        <v>0</v>
      </c>
      <c r="AF9" s="53">
        <v>0</v>
      </c>
      <c r="AG9" s="53">
        <v>0</v>
      </c>
      <c r="AH9" s="31">
        <v>0.3</v>
      </c>
      <c r="AI9" s="31">
        <v>0.24</v>
      </c>
      <c r="AJ9" s="29">
        <v>0.18</v>
      </c>
      <c r="AK9" s="29">
        <v>0.15</v>
      </c>
      <c r="AL9" s="62">
        <v>30</v>
      </c>
      <c r="AM9" s="31">
        <v>0</v>
      </c>
      <c r="AN9" s="31">
        <v>1</v>
      </c>
      <c r="AO9" s="31">
        <v>1</v>
      </c>
      <c r="AP9" s="31">
        <v>1</v>
      </c>
      <c r="AQ9" s="30">
        <v>0.15</v>
      </c>
      <c r="AR9" s="30">
        <v>0.2</v>
      </c>
      <c r="AS9" s="29">
        <v>0</v>
      </c>
      <c r="AT9" s="29">
        <v>0</v>
      </c>
      <c r="AU9" s="29">
        <v>0</v>
      </c>
      <c r="AV9" s="71">
        <v>0</v>
      </c>
      <c r="AW9" s="71">
        <v>0</v>
      </c>
      <c r="AX9" s="71">
        <v>0</v>
      </c>
      <c r="AY9" s="71">
        <v>0</v>
      </c>
      <c r="AZ9" s="19">
        <v>0.93</v>
      </c>
      <c r="BA9" s="65">
        <v>0</v>
      </c>
      <c r="BB9" s="29" t="b">
        <v>1</v>
      </c>
      <c r="BC9" s="29" t="b">
        <v>0</v>
      </c>
      <c r="BD9" s="29" t="s">
        <v>139</v>
      </c>
      <c r="BE9" s="29" t="b">
        <v>1</v>
      </c>
      <c r="BF9" s="29" t="b">
        <v>0</v>
      </c>
      <c r="BG9" s="62" t="b">
        <v>0</v>
      </c>
      <c r="BH9" s="30" t="s">
        <v>139</v>
      </c>
      <c r="BI9" s="29" t="b">
        <v>0</v>
      </c>
      <c r="BJ9" s="74">
        <v>6.9200000000000002E-4</v>
      </c>
      <c r="BK9" s="29" t="b">
        <v>0</v>
      </c>
      <c r="BL9" s="29" t="b">
        <v>0</v>
      </c>
      <c r="BM9" s="29">
        <v>500</v>
      </c>
      <c r="BN9" s="29">
        <v>0</v>
      </c>
      <c r="BO9" s="29">
        <v>0</v>
      </c>
      <c r="BP9" s="29">
        <v>0</v>
      </c>
      <c r="BQ9" s="29" t="b">
        <v>0</v>
      </c>
      <c r="BR9" s="29">
        <v>0</v>
      </c>
      <c r="BS9" s="53">
        <v>60</v>
      </c>
      <c r="BT9" s="62" t="b">
        <v>0</v>
      </c>
      <c r="BU9" s="29" t="b">
        <v>0</v>
      </c>
      <c r="BV9" s="29" t="b">
        <v>0</v>
      </c>
      <c r="BW9" s="29" t="s">
        <v>139</v>
      </c>
      <c r="BX9" s="62" t="b">
        <v>0</v>
      </c>
      <c r="BY9" s="62" t="s">
        <v>432</v>
      </c>
    </row>
    <row r="10" spans="1:77" x14ac:dyDescent="0.2">
      <c r="A10" s="18" t="s">
        <v>611</v>
      </c>
      <c r="B10" s="111" t="s">
        <v>1249</v>
      </c>
      <c r="C10" s="17" t="s">
        <v>75</v>
      </c>
      <c r="D10" s="164" t="s">
        <v>28</v>
      </c>
      <c r="E10" s="164" t="s">
        <v>28</v>
      </c>
      <c r="F10" s="63" t="s">
        <v>613</v>
      </c>
      <c r="G10" s="19" t="s">
        <v>376</v>
      </c>
      <c r="H10" s="37" t="s">
        <v>79</v>
      </c>
      <c r="I10" s="29" t="b">
        <v>0</v>
      </c>
      <c r="J10" s="17" t="s">
        <v>79</v>
      </c>
      <c r="K10" s="29" t="b">
        <v>0</v>
      </c>
      <c r="L10" s="70">
        <v>0</v>
      </c>
      <c r="M10" s="19">
        <v>100</v>
      </c>
      <c r="N10" s="19">
        <v>100</v>
      </c>
      <c r="O10" s="29">
        <v>0</v>
      </c>
      <c r="P10" s="29">
        <v>10</v>
      </c>
      <c r="Q10" s="29">
        <v>10</v>
      </c>
      <c r="R10" s="31">
        <v>1</v>
      </c>
      <c r="S10" s="31">
        <v>0</v>
      </c>
      <c r="T10" s="72">
        <v>0</v>
      </c>
      <c r="U10" s="29" t="s">
        <v>160</v>
      </c>
      <c r="V10" s="29" t="s">
        <v>160</v>
      </c>
      <c r="W10" s="75">
        <v>1</v>
      </c>
      <c r="X10" s="29" t="s">
        <v>79</v>
      </c>
      <c r="Y10" s="29">
        <v>30</v>
      </c>
      <c r="Z10" s="29">
        <v>0</v>
      </c>
      <c r="AA10" s="29">
        <v>0</v>
      </c>
      <c r="AB10" s="29" t="s">
        <v>160</v>
      </c>
      <c r="AC10" s="29" t="s">
        <v>160</v>
      </c>
      <c r="AD10" s="29">
        <v>0</v>
      </c>
      <c r="AE10" s="53">
        <v>0</v>
      </c>
      <c r="AF10" s="53">
        <v>0</v>
      </c>
      <c r="AG10" s="53">
        <v>0</v>
      </c>
      <c r="AH10" s="31">
        <v>0.3</v>
      </c>
      <c r="AI10" s="31">
        <v>0.24</v>
      </c>
      <c r="AJ10" s="29">
        <v>0.18</v>
      </c>
      <c r="AK10" s="29">
        <v>0.15</v>
      </c>
      <c r="AL10" s="62">
        <v>60</v>
      </c>
      <c r="AM10" s="31">
        <v>0</v>
      </c>
      <c r="AN10" s="31">
        <v>1</v>
      </c>
      <c r="AO10" s="31">
        <v>1</v>
      </c>
      <c r="AP10" s="31">
        <v>1</v>
      </c>
      <c r="AQ10" s="30">
        <v>1</v>
      </c>
      <c r="AR10" s="30">
        <v>1</v>
      </c>
      <c r="AS10" s="29">
        <v>0</v>
      </c>
      <c r="AT10" s="29" t="s">
        <v>160</v>
      </c>
      <c r="AU10" s="29" t="s">
        <v>160</v>
      </c>
      <c r="AV10" s="71">
        <v>0</v>
      </c>
      <c r="AW10" s="71">
        <v>0</v>
      </c>
      <c r="AX10" s="71">
        <v>0</v>
      </c>
      <c r="AY10" s="71">
        <v>0</v>
      </c>
      <c r="AZ10" s="19">
        <v>0.97</v>
      </c>
      <c r="BA10" s="65">
        <v>0</v>
      </c>
      <c r="BB10" s="29" t="b">
        <v>0</v>
      </c>
      <c r="BC10" s="29" t="b">
        <v>0</v>
      </c>
      <c r="BD10" s="29" t="s">
        <v>79</v>
      </c>
      <c r="BE10" s="29" t="b">
        <v>1</v>
      </c>
      <c r="BF10" s="29" t="b">
        <v>1</v>
      </c>
      <c r="BG10" s="62" t="b">
        <v>0</v>
      </c>
      <c r="BH10" s="30">
        <v>1</v>
      </c>
      <c r="BI10" s="29" t="b">
        <v>0</v>
      </c>
      <c r="BJ10" s="74">
        <v>6.9200000000000002E-4</v>
      </c>
      <c r="BK10" s="29" t="b">
        <v>0</v>
      </c>
      <c r="BL10" s="29" t="b">
        <v>0</v>
      </c>
      <c r="BM10" s="29">
        <v>50</v>
      </c>
      <c r="BN10" s="29">
        <v>0</v>
      </c>
      <c r="BO10" s="29">
        <v>0</v>
      </c>
      <c r="BP10" s="29">
        <v>0</v>
      </c>
      <c r="BQ10" s="29" t="b">
        <v>0</v>
      </c>
      <c r="BR10" s="29">
        <v>0</v>
      </c>
      <c r="BS10" s="53">
        <v>1</v>
      </c>
      <c r="BT10" s="62" t="b">
        <v>0</v>
      </c>
      <c r="BU10" s="29" t="b">
        <v>0</v>
      </c>
      <c r="BV10" s="29" t="b">
        <v>0</v>
      </c>
      <c r="BW10" s="29" t="s">
        <v>79</v>
      </c>
      <c r="BX10" s="62" t="b">
        <v>0</v>
      </c>
      <c r="BY10" s="62" t="s">
        <v>432</v>
      </c>
    </row>
    <row r="11" spans="1:77" x14ac:dyDescent="0.2">
      <c r="A11" s="18" t="s">
        <v>614</v>
      </c>
      <c r="B11" s="111" t="s">
        <v>1250</v>
      </c>
      <c r="C11" s="17" t="s">
        <v>75</v>
      </c>
      <c r="D11" s="164" t="s">
        <v>28</v>
      </c>
      <c r="E11" s="164" t="s">
        <v>28</v>
      </c>
      <c r="F11" s="63" t="s">
        <v>613</v>
      </c>
      <c r="G11" s="19" t="s">
        <v>376</v>
      </c>
      <c r="H11" s="37" t="s">
        <v>79</v>
      </c>
      <c r="I11" s="29" t="b">
        <v>0</v>
      </c>
      <c r="J11" s="17" t="s">
        <v>79</v>
      </c>
      <c r="K11" s="29" t="b">
        <v>0</v>
      </c>
      <c r="L11" s="70">
        <v>0</v>
      </c>
      <c r="M11" s="19">
        <v>100</v>
      </c>
      <c r="N11" s="19">
        <v>100</v>
      </c>
      <c r="O11" s="29">
        <v>0</v>
      </c>
      <c r="P11" s="29">
        <v>24</v>
      </c>
      <c r="Q11" s="29">
        <v>24</v>
      </c>
      <c r="R11" s="31">
        <v>1</v>
      </c>
      <c r="S11" s="31">
        <v>0</v>
      </c>
      <c r="T11" s="72">
        <v>0</v>
      </c>
      <c r="U11" s="29" t="s">
        <v>160</v>
      </c>
      <c r="V11" s="29" t="s">
        <v>160</v>
      </c>
      <c r="W11" s="75">
        <v>1</v>
      </c>
      <c r="X11" s="29" t="s">
        <v>79</v>
      </c>
      <c r="Y11" s="29">
        <v>30</v>
      </c>
      <c r="Z11" s="29">
        <v>0</v>
      </c>
      <c r="AA11" s="29">
        <v>0</v>
      </c>
      <c r="AB11" s="29" t="s">
        <v>160</v>
      </c>
      <c r="AC11" s="29" t="s">
        <v>160</v>
      </c>
      <c r="AD11" s="29">
        <v>0</v>
      </c>
      <c r="AE11" s="53">
        <v>0</v>
      </c>
      <c r="AF11" s="53">
        <v>0</v>
      </c>
      <c r="AG11" s="53">
        <v>0</v>
      </c>
      <c r="AH11" s="31">
        <v>0.3</v>
      </c>
      <c r="AI11" s="31">
        <v>0.24</v>
      </c>
      <c r="AJ11" s="29">
        <v>0.18</v>
      </c>
      <c r="AK11" s="29">
        <v>0.15</v>
      </c>
      <c r="AL11" s="62">
        <v>60</v>
      </c>
      <c r="AM11" s="31">
        <v>0</v>
      </c>
      <c r="AN11" s="31">
        <v>1</v>
      </c>
      <c r="AO11" s="31">
        <v>1</v>
      </c>
      <c r="AP11" s="31">
        <v>1</v>
      </c>
      <c r="AQ11" s="30">
        <v>1</v>
      </c>
      <c r="AR11" s="30">
        <v>1</v>
      </c>
      <c r="AS11" s="29">
        <v>0</v>
      </c>
      <c r="AT11" s="29" t="s">
        <v>160</v>
      </c>
      <c r="AU11" s="29" t="s">
        <v>160</v>
      </c>
      <c r="AV11" s="71">
        <v>0</v>
      </c>
      <c r="AW11" s="71">
        <v>0</v>
      </c>
      <c r="AX11" s="71">
        <v>0</v>
      </c>
      <c r="AY11" s="71">
        <v>0</v>
      </c>
      <c r="AZ11" s="19">
        <v>0.97</v>
      </c>
      <c r="BA11" s="65">
        <v>0</v>
      </c>
      <c r="BB11" s="29" t="b">
        <v>0</v>
      </c>
      <c r="BC11" s="29" t="b">
        <v>0</v>
      </c>
      <c r="BD11" s="29" t="s">
        <v>79</v>
      </c>
      <c r="BE11" s="29" t="b">
        <v>1</v>
      </c>
      <c r="BF11" s="29" t="b">
        <v>1</v>
      </c>
      <c r="BG11" s="62" t="b">
        <v>0</v>
      </c>
      <c r="BH11" s="30">
        <v>1</v>
      </c>
      <c r="BI11" s="29" t="b">
        <v>0</v>
      </c>
      <c r="BJ11" s="74">
        <v>6.9200000000000002E-4</v>
      </c>
      <c r="BK11" s="29" t="b">
        <v>0</v>
      </c>
      <c r="BL11" s="29" t="b">
        <v>0</v>
      </c>
      <c r="BM11" s="29">
        <v>50</v>
      </c>
      <c r="BN11" s="29">
        <v>0</v>
      </c>
      <c r="BO11" s="29">
        <v>0</v>
      </c>
      <c r="BP11" s="29">
        <v>0</v>
      </c>
      <c r="BQ11" s="29" t="b">
        <v>0</v>
      </c>
      <c r="BR11" s="29">
        <v>0</v>
      </c>
      <c r="BS11" s="53">
        <v>1</v>
      </c>
      <c r="BT11" s="62" t="b">
        <v>0</v>
      </c>
      <c r="BU11" s="29" t="b">
        <v>0</v>
      </c>
      <c r="BV11" s="29" t="b">
        <v>0</v>
      </c>
      <c r="BW11" s="29" t="s">
        <v>79</v>
      </c>
      <c r="BX11" s="62" t="b">
        <v>0</v>
      </c>
      <c r="BY11" s="62" t="s">
        <v>432</v>
      </c>
    </row>
    <row r="12" spans="1:77" x14ac:dyDescent="0.2">
      <c r="A12" s="18" t="s">
        <v>615</v>
      </c>
      <c r="B12" s="111" t="s">
        <v>1251</v>
      </c>
      <c r="C12" s="17" t="s">
        <v>75</v>
      </c>
      <c r="D12" s="164" t="s">
        <v>28</v>
      </c>
      <c r="E12" s="164" t="s">
        <v>28</v>
      </c>
      <c r="F12" s="63" t="s">
        <v>613</v>
      </c>
      <c r="G12" s="19" t="s">
        <v>376</v>
      </c>
      <c r="H12" s="37" t="s">
        <v>79</v>
      </c>
      <c r="I12" s="29" t="b">
        <v>0</v>
      </c>
      <c r="J12" s="17" t="s">
        <v>79</v>
      </c>
      <c r="K12" s="29" t="b">
        <v>0</v>
      </c>
      <c r="L12" s="70">
        <v>0</v>
      </c>
      <c r="M12" s="19">
        <v>100</v>
      </c>
      <c r="N12" s="19">
        <v>100</v>
      </c>
      <c r="O12" s="29">
        <v>0</v>
      </c>
      <c r="P12" s="29">
        <v>100</v>
      </c>
      <c r="Q12" s="29">
        <v>100</v>
      </c>
      <c r="R12" s="31">
        <v>1</v>
      </c>
      <c r="S12" s="31">
        <v>0</v>
      </c>
      <c r="T12" s="72">
        <v>0</v>
      </c>
      <c r="U12" s="29" t="s">
        <v>160</v>
      </c>
      <c r="V12" s="29" t="s">
        <v>160</v>
      </c>
      <c r="W12" s="75">
        <v>1</v>
      </c>
      <c r="X12" s="29" t="s">
        <v>79</v>
      </c>
      <c r="Y12" s="29">
        <v>30</v>
      </c>
      <c r="Z12" s="29">
        <v>0</v>
      </c>
      <c r="AA12" s="29">
        <v>0</v>
      </c>
      <c r="AB12" s="29" t="s">
        <v>160</v>
      </c>
      <c r="AC12" s="29" t="s">
        <v>160</v>
      </c>
      <c r="AD12" s="29">
        <v>0</v>
      </c>
      <c r="AE12" s="53">
        <v>0</v>
      </c>
      <c r="AF12" s="53">
        <v>0</v>
      </c>
      <c r="AG12" s="53">
        <v>0</v>
      </c>
      <c r="AH12" s="31">
        <v>0.3</v>
      </c>
      <c r="AI12" s="31">
        <v>0.24</v>
      </c>
      <c r="AJ12" s="29">
        <v>0.18</v>
      </c>
      <c r="AK12" s="29">
        <v>0.15</v>
      </c>
      <c r="AL12" s="62">
        <v>60</v>
      </c>
      <c r="AM12" s="31">
        <v>0</v>
      </c>
      <c r="AN12" s="31">
        <v>1</v>
      </c>
      <c r="AO12" s="31">
        <v>1</v>
      </c>
      <c r="AP12" s="31">
        <v>1</v>
      </c>
      <c r="AQ12" s="30">
        <v>1</v>
      </c>
      <c r="AR12" s="30">
        <v>1</v>
      </c>
      <c r="AS12" s="29">
        <v>0</v>
      </c>
      <c r="AT12" s="29" t="s">
        <v>160</v>
      </c>
      <c r="AU12" s="29" t="s">
        <v>160</v>
      </c>
      <c r="AV12" s="71">
        <v>0</v>
      </c>
      <c r="AW12" s="71">
        <v>0</v>
      </c>
      <c r="AX12" s="71">
        <v>0</v>
      </c>
      <c r="AY12" s="71">
        <v>0</v>
      </c>
      <c r="AZ12" s="19">
        <v>0.97</v>
      </c>
      <c r="BA12" s="65">
        <v>0</v>
      </c>
      <c r="BB12" s="29" t="b">
        <v>0</v>
      </c>
      <c r="BC12" s="29" t="b">
        <v>0</v>
      </c>
      <c r="BD12" s="29" t="s">
        <v>79</v>
      </c>
      <c r="BE12" s="29" t="b">
        <v>1</v>
      </c>
      <c r="BF12" s="29" t="b">
        <v>1</v>
      </c>
      <c r="BG12" s="62" t="b">
        <v>0</v>
      </c>
      <c r="BH12" s="30">
        <v>1</v>
      </c>
      <c r="BI12" s="29" t="b">
        <v>0</v>
      </c>
      <c r="BJ12" s="74">
        <v>6.9200000000000002E-4</v>
      </c>
      <c r="BK12" s="29" t="b">
        <v>0</v>
      </c>
      <c r="BL12" s="29" t="b">
        <v>0</v>
      </c>
      <c r="BM12" s="29">
        <v>50</v>
      </c>
      <c r="BN12" s="29">
        <v>0</v>
      </c>
      <c r="BO12" s="29">
        <v>0</v>
      </c>
      <c r="BP12" s="29">
        <v>0</v>
      </c>
      <c r="BQ12" s="29" t="b">
        <v>0</v>
      </c>
      <c r="BR12" s="29">
        <v>0</v>
      </c>
      <c r="BS12" s="53">
        <v>1</v>
      </c>
      <c r="BT12" s="62" t="b">
        <v>0</v>
      </c>
      <c r="BU12" s="29" t="b">
        <v>0</v>
      </c>
      <c r="BV12" s="29" t="b">
        <v>0</v>
      </c>
      <c r="BW12" s="29" t="s">
        <v>79</v>
      </c>
      <c r="BX12" s="62" t="b">
        <v>0</v>
      </c>
      <c r="BY12" s="62" t="s">
        <v>432</v>
      </c>
    </row>
    <row r="13" spans="1:77" x14ac:dyDescent="0.2">
      <c r="A13" s="18" t="s">
        <v>616</v>
      </c>
      <c r="B13" s="111" t="s">
        <v>1252</v>
      </c>
      <c r="C13" s="17" t="s">
        <v>75</v>
      </c>
      <c r="D13" s="164" t="s">
        <v>28</v>
      </c>
      <c r="E13" s="164" t="s">
        <v>28</v>
      </c>
      <c r="F13" s="63" t="s">
        <v>613</v>
      </c>
      <c r="G13" s="19" t="s">
        <v>376</v>
      </c>
      <c r="H13" s="37" t="s">
        <v>79</v>
      </c>
      <c r="I13" s="29" t="b">
        <v>0</v>
      </c>
      <c r="J13" s="17" t="s">
        <v>79</v>
      </c>
      <c r="K13" s="29" t="b">
        <v>0</v>
      </c>
      <c r="L13" s="70">
        <v>0</v>
      </c>
      <c r="M13" s="19">
        <v>100</v>
      </c>
      <c r="N13" s="19">
        <v>100</v>
      </c>
      <c r="O13" s="29">
        <v>0</v>
      </c>
      <c r="P13" s="29">
        <v>10</v>
      </c>
      <c r="Q13" s="29">
        <v>10</v>
      </c>
      <c r="R13" s="31">
        <v>1</v>
      </c>
      <c r="S13" s="31">
        <v>0</v>
      </c>
      <c r="T13" s="72">
        <v>0</v>
      </c>
      <c r="U13" s="29" t="s">
        <v>160</v>
      </c>
      <c r="V13" s="29" t="s">
        <v>160</v>
      </c>
      <c r="W13" s="75">
        <v>1</v>
      </c>
      <c r="X13" s="29" t="s">
        <v>79</v>
      </c>
      <c r="Y13" s="29">
        <v>30</v>
      </c>
      <c r="Z13" s="29">
        <v>0</v>
      </c>
      <c r="AA13" s="29">
        <v>0</v>
      </c>
      <c r="AB13" s="29" t="s">
        <v>160</v>
      </c>
      <c r="AC13" s="29" t="s">
        <v>160</v>
      </c>
      <c r="AD13" s="29">
        <v>0</v>
      </c>
      <c r="AE13" s="53">
        <v>0</v>
      </c>
      <c r="AF13" s="53">
        <v>0</v>
      </c>
      <c r="AG13" s="53">
        <v>0</v>
      </c>
      <c r="AH13" s="31">
        <v>0.3</v>
      </c>
      <c r="AI13" s="31">
        <v>0.24</v>
      </c>
      <c r="AJ13" s="29">
        <v>0.18</v>
      </c>
      <c r="AK13" s="29">
        <v>0.15</v>
      </c>
      <c r="AL13" s="62">
        <v>30</v>
      </c>
      <c r="AM13" s="31">
        <v>0</v>
      </c>
      <c r="AN13" s="31">
        <v>1</v>
      </c>
      <c r="AO13" s="31">
        <v>1</v>
      </c>
      <c r="AP13" s="31">
        <v>1</v>
      </c>
      <c r="AQ13" s="30">
        <v>1</v>
      </c>
      <c r="AR13" s="30">
        <v>1</v>
      </c>
      <c r="AS13" s="29">
        <v>0</v>
      </c>
      <c r="AT13" s="29" t="s">
        <v>160</v>
      </c>
      <c r="AU13" s="29" t="s">
        <v>160</v>
      </c>
      <c r="AV13" s="71">
        <v>0</v>
      </c>
      <c r="AW13" s="71">
        <v>0</v>
      </c>
      <c r="AX13" s="71">
        <v>0</v>
      </c>
      <c r="AY13" s="71">
        <v>0</v>
      </c>
      <c r="AZ13" s="19">
        <v>0.97</v>
      </c>
      <c r="BA13" s="65">
        <v>0</v>
      </c>
      <c r="BB13" s="29" t="b">
        <v>0</v>
      </c>
      <c r="BC13" s="29" t="b">
        <v>0</v>
      </c>
      <c r="BD13" s="29" t="s">
        <v>79</v>
      </c>
      <c r="BE13" s="29" t="b">
        <v>1</v>
      </c>
      <c r="BF13" s="29" t="b">
        <v>1</v>
      </c>
      <c r="BG13" s="62" t="b">
        <v>0</v>
      </c>
      <c r="BH13" s="30">
        <v>1</v>
      </c>
      <c r="BI13" s="29" t="b">
        <v>0</v>
      </c>
      <c r="BJ13" s="74">
        <v>6.9200000000000002E-4</v>
      </c>
      <c r="BK13" s="29" t="b">
        <v>0</v>
      </c>
      <c r="BL13" s="29" t="b">
        <v>0</v>
      </c>
      <c r="BM13" s="29">
        <v>50</v>
      </c>
      <c r="BN13" s="29">
        <v>0</v>
      </c>
      <c r="BO13" s="29">
        <v>0</v>
      </c>
      <c r="BP13" s="29">
        <v>0</v>
      </c>
      <c r="BQ13" s="29" t="b">
        <v>0</v>
      </c>
      <c r="BR13" s="29">
        <v>0</v>
      </c>
      <c r="BS13" s="53">
        <v>1</v>
      </c>
      <c r="BT13" s="62" t="b">
        <v>0</v>
      </c>
      <c r="BU13" s="29" t="b">
        <v>0</v>
      </c>
      <c r="BV13" s="29" t="b">
        <v>0</v>
      </c>
      <c r="BW13" s="29" t="s">
        <v>79</v>
      </c>
      <c r="BX13" s="62" t="b">
        <v>0</v>
      </c>
      <c r="BY13" s="62" t="s">
        <v>432</v>
      </c>
    </row>
    <row r="14" spans="1:77" x14ac:dyDescent="0.2">
      <c r="A14" s="18" t="s">
        <v>617</v>
      </c>
      <c r="B14" s="111" t="s">
        <v>1253</v>
      </c>
      <c r="C14" s="17" t="s">
        <v>75</v>
      </c>
      <c r="D14" s="164" t="s">
        <v>28</v>
      </c>
      <c r="E14" s="164" t="s">
        <v>28</v>
      </c>
      <c r="F14" s="63" t="s">
        <v>613</v>
      </c>
      <c r="G14" s="19" t="s">
        <v>376</v>
      </c>
      <c r="H14" s="37" t="s">
        <v>79</v>
      </c>
      <c r="I14" s="29" t="b">
        <v>0</v>
      </c>
      <c r="J14" s="17" t="s">
        <v>79</v>
      </c>
      <c r="K14" s="29" t="b">
        <v>0</v>
      </c>
      <c r="L14" s="70">
        <v>0</v>
      </c>
      <c r="M14" s="19">
        <v>100</v>
      </c>
      <c r="N14" s="19">
        <v>100</v>
      </c>
      <c r="O14" s="29">
        <v>0</v>
      </c>
      <c r="P14" s="29">
        <v>24</v>
      </c>
      <c r="Q14" s="29">
        <v>24</v>
      </c>
      <c r="R14" s="31">
        <v>1</v>
      </c>
      <c r="S14" s="31">
        <v>0</v>
      </c>
      <c r="T14" s="72">
        <v>0</v>
      </c>
      <c r="U14" s="29" t="s">
        <v>160</v>
      </c>
      <c r="V14" s="29" t="s">
        <v>160</v>
      </c>
      <c r="W14" s="75">
        <v>1</v>
      </c>
      <c r="X14" s="29" t="s">
        <v>79</v>
      </c>
      <c r="Y14" s="29">
        <v>30</v>
      </c>
      <c r="Z14" s="29">
        <v>0</v>
      </c>
      <c r="AA14" s="29">
        <v>0</v>
      </c>
      <c r="AB14" s="29" t="s">
        <v>160</v>
      </c>
      <c r="AC14" s="29" t="s">
        <v>160</v>
      </c>
      <c r="AD14" s="29">
        <v>0</v>
      </c>
      <c r="AE14" s="53">
        <v>0</v>
      </c>
      <c r="AF14" s="53">
        <v>0</v>
      </c>
      <c r="AG14" s="53">
        <v>0</v>
      </c>
      <c r="AH14" s="31">
        <v>0.3</v>
      </c>
      <c r="AI14" s="31">
        <v>0.24</v>
      </c>
      <c r="AJ14" s="29">
        <v>0.18</v>
      </c>
      <c r="AK14" s="29">
        <v>0.15</v>
      </c>
      <c r="AL14" s="62">
        <v>30</v>
      </c>
      <c r="AM14" s="31">
        <v>0</v>
      </c>
      <c r="AN14" s="31">
        <v>1</v>
      </c>
      <c r="AO14" s="31">
        <v>1</v>
      </c>
      <c r="AP14" s="31">
        <v>1</v>
      </c>
      <c r="AQ14" s="30">
        <v>1</v>
      </c>
      <c r="AR14" s="30">
        <v>1</v>
      </c>
      <c r="AS14" s="29">
        <v>0</v>
      </c>
      <c r="AT14" s="29" t="s">
        <v>160</v>
      </c>
      <c r="AU14" s="29" t="s">
        <v>160</v>
      </c>
      <c r="AV14" s="71">
        <v>0</v>
      </c>
      <c r="AW14" s="71">
        <v>0</v>
      </c>
      <c r="AX14" s="71">
        <v>0</v>
      </c>
      <c r="AY14" s="71">
        <v>0</v>
      </c>
      <c r="AZ14" s="19">
        <v>0.97</v>
      </c>
      <c r="BA14" s="65">
        <v>0</v>
      </c>
      <c r="BB14" s="29" t="b">
        <v>0</v>
      </c>
      <c r="BC14" s="29" t="b">
        <v>0</v>
      </c>
      <c r="BD14" s="29" t="s">
        <v>79</v>
      </c>
      <c r="BE14" s="29" t="b">
        <v>1</v>
      </c>
      <c r="BF14" s="29" t="b">
        <v>1</v>
      </c>
      <c r="BG14" s="62" t="b">
        <v>0</v>
      </c>
      <c r="BH14" s="30">
        <v>1</v>
      </c>
      <c r="BI14" s="29" t="b">
        <v>0</v>
      </c>
      <c r="BJ14" s="74">
        <v>6.9200000000000002E-4</v>
      </c>
      <c r="BK14" s="29" t="b">
        <v>0</v>
      </c>
      <c r="BL14" s="29" t="b">
        <v>0</v>
      </c>
      <c r="BM14" s="29">
        <v>50</v>
      </c>
      <c r="BN14" s="29">
        <v>0</v>
      </c>
      <c r="BO14" s="29">
        <v>0</v>
      </c>
      <c r="BP14" s="29">
        <v>0</v>
      </c>
      <c r="BQ14" s="29" t="b">
        <v>0</v>
      </c>
      <c r="BR14" s="29">
        <v>0</v>
      </c>
      <c r="BS14" s="53">
        <v>1</v>
      </c>
      <c r="BT14" s="62" t="b">
        <v>0</v>
      </c>
      <c r="BU14" s="29" t="b">
        <v>0</v>
      </c>
      <c r="BV14" s="29" t="b">
        <v>0</v>
      </c>
      <c r="BW14" s="29" t="s">
        <v>79</v>
      </c>
      <c r="BX14" s="62" t="b">
        <v>0</v>
      </c>
      <c r="BY14" s="62" t="s">
        <v>432</v>
      </c>
    </row>
    <row r="15" spans="1:77" x14ac:dyDescent="0.2">
      <c r="A15" s="18" t="s">
        <v>618</v>
      </c>
      <c r="B15" s="111" t="s">
        <v>1254</v>
      </c>
      <c r="C15" s="17" t="s">
        <v>75</v>
      </c>
      <c r="D15" s="164" t="s">
        <v>28</v>
      </c>
      <c r="E15" s="164" t="s">
        <v>28</v>
      </c>
      <c r="F15" s="63" t="s">
        <v>613</v>
      </c>
      <c r="G15" s="19" t="s">
        <v>376</v>
      </c>
      <c r="H15" s="37" t="s">
        <v>79</v>
      </c>
      <c r="I15" s="29" t="b">
        <v>0</v>
      </c>
      <c r="J15" s="17" t="s">
        <v>79</v>
      </c>
      <c r="K15" s="29" t="b">
        <v>0</v>
      </c>
      <c r="L15" s="70">
        <v>0</v>
      </c>
      <c r="M15" s="19">
        <v>100</v>
      </c>
      <c r="N15" s="19">
        <v>100</v>
      </c>
      <c r="O15" s="29">
        <v>0</v>
      </c>
      <c r="P15" s="29">
        <v>100</v>
      </c>
      <c r="Q15" s="29">
        <v>100</v>
      </c>
      <c r="R15" s="31">
        <v>1</v>
      </c>
      <c r="S15" s="31">
        <v>0</v>
      </c>
      <c r="T15" s="72">
        <v>0</v>
      </c>
      <c r="U15" s="29" t="s">
        <v>160</v>
      </c>
      <c r="V15" s="29" t="s">
        <v>160</v>
      </c>
      <c r="W15" s="75">
        <v>1</v>
      </c>
      <c r="X15" s="29" t="s">
        <v>79</v>
      </c>
      <c r="Y15" s="29">
        <v>30</v>
      </c>
      <c r="Z15" s="29">
        <v>0</v>
      </c>
      <c r="AA15" s="29">
        <v>0</v>
      </c>
      <c r="AB15" s="29" t="s">
        <v>160</v>
      </c>
      <c r="AC15" s="29" t="s">
        <v>160</v>
      </c>
      <c r="AD15" s="29">
        <v>0</v>
      </c>
      <c r="AE15" s="53">
        <v>0</v>
      </c>
      <c r="AF15" s="53">
        <v>0</v>
      </c>
      <c r="AG15" s="53">
        <v>0</v>
      </c>
      <c r="AH15" s="31">
        <v>0.3</v>
      </c>
      <c r="AI15" s="31">
        <v>0.24</v>
      </c>
      <c r="AJ15" s="29">
        <v>0.18</v>
      </c>
      <c r="AK15" s="29">
        <v>0.15</v>
      </c>
      <c r="AL15" s="62">
        <v>30</v>
      </c>
      <c r="AM15" s="31">
        <v>0</v>
      </c>
      <c r="AN15" s="31">
        <v>1</v>
      </c>
      <c r="AO15" s="31">
        <v>1</v>
      </c>
      <c r="AP15" s="31">
        <v>1</v>
      </c>
      <c r="AQ15" s="30">
        <v>1</v>
      </c>
      <c r="AR15" s="30">
        <v>1</v>
      </c>
      <c r="AS15" s="29">
        <v>0</v>
      </c>
      <c r="AT15" s="29" t="s">
        <v>160</v>
      </c>
      <c r="AU15" s="29" t="s">
        <v>160</v>
      </c>
      <c r="AV15" s="71">
        <v>0</v>
      </c>
      <c r="AW15" s="71">
        <v>0</v>
      </c>
      <c r="AX15" s="71">
        <v>0</v>
      </c>
      <c r="AY15" s="71">
        <v>0</v>
      </c>
      <c r="AZ15" s="19">
        <v>0.97</v>
      </c>
      <c r="BA15" s="65">
        <v>0</v>
      </c>
      <c r="BB15" s="29" t="b">
        <v>0</v>
      </c>
      <c r="BC15" s="29" t="b">
        <v>0</v>
      </c>
      <c r="BD15" s="29" t="s">
        <v>79</v>
      </c>
      <c r="BE15" s="29" t="b">
        <v>1</v>
      </c>
      <c r="BF15" s="29" t="b">
        <v>1</v>
      </c>
      <c r="BG15" s="62" t="b">
        <v>0</v>
      </c>
      <c r="BH15" s="30">
        <v>1</v>
      </c>
      <c r="BI15" s="29" t="b">
        <v>0</v>
      </c>
      <c r="BJ15" s="74">
        <v>6.9200000000000002E-4</v>
      </c>
      <c r="BK15" s="29" t="b">
        <v>0</v>
      </c>
      <c r="BL15" s="29" t="b">
        <v>0</v>
      </c>
      <c r="BM15" s="29">
        <v>50</v>
      </c>
      <c r="BN15" s="29">
        <v>0</v>
      </c>
      <c r="BO15" s="29">
        <v>0</v>
      </c>
      <c r="BP15" s="29">
        <v>0</v>
      </c>
      <c r="BQ15" s="29" t="b">
        <v>0</v>
      </c>
      <c r="BR15" s="29">
        <v>0</v>
      </c>
      <c r="BS15" s="53">
        <v>1</v>
      </c>
      <c r="BT15" s="62" t="b">
        <v>0</v>
      </c>
      <c r="BU15" s="29" t="b">
        <v>0</v>
      </c>
      <c r="BV15" s="29" t="b">
        <v>0</v>
      </c>
      <c r="BW15" s="29" t="s">
        <v>79</v>
      </c>
      <c r="BX15" s="62" t="b">
        <v>0</v>
      </c>
      <c r="BY15" s="62" t="s">
        <v>432</v>
      </c>
    </row>
    <row r="16" spans="1:77" x14ac:dyDescent="0.2">
      <c r="A16" s="18" t="s">
        <v>619</v>
      </c>
      <c r="B16" s="111" t="s">
        <v>1288</v>
      </c>
      <c r="C16" s="17" t="s">
        <v>75</v>
      </c>
      <c r="D16" s="164" t="s">
        <v>28</v>
      </c>
      <c r="E16" s="164" t="s">
        <v>416</v>
      </c>
      <c r="F16" s="63" t="s">
        <v>620</v>
      </c>
      <c r="G16" s="19" t="s">
        <v>376</v>
      </c>
      <c r="H16" s="37" t="s">
        <v>79</v>
      </c>
      <c r="I16" s="29" t="b">
        <v>0</v>
      </c>
      <c r="J16" s="17" t="s">
        <v>79</v>
      </c>
      <c r="K16" s="29" t="b">
        <v>0</v>
      </c>
      <c r="L16" s="70">
        <v>0</v>
      </c>
      <c r="M16" s="19">
        <v>1000</v>
      </c>
      <c r="N16" s="19">
        <v>1000</v>
      </c>
      <c r="O16" s="29">
        <v>0</v>
      </c>
      <c r="P16" s="29">
        <v>10</v>
      </c>
      <c r="Q16" s="29">
        <v>10</v>
      </c>
      <c r="R16" s="31">
        <v>1</v>
      </c>
      <c r="S16" s="31">
        <v>0</v>
      </c>
      <c r="T16" s="72">
        <v>0</v>
      </c>
      <c r="U16" s="29" t="s">
        <v>160</v>
      </c>
      <c r="V16" s="29" t="s">
        <v>160</v>
      </c>
      <c r="W16" s="75">
        <v>1</v>
      </c>
      <c r="X16" s="29" t="s">
        <v>79</v>
      </c>
      <c r="Y16" s="29">
        <v>30</v>
      </c>
      <c r="Z16" s="29">
        <v>0</v>
      </c>
      <c r="AA16" s="29">
        <v>0</v>
      </c>
      <c r="AB16" s="29" t="s">
        <v>160</v>
      </c>
      <c r="AC16" s="29" t="s">
        <v>160</v>
      </c>
      <c r="AD16" s="29">
        <v>0</v>
      </c>
      <c r="AE16" s="53">
        <v>0</v>
      </c>
      <c r="AF16" s="53">
        <v>0</v>
      </c>
      <c r="AG16" s="53">
        <v>0</v>
      </c>
      <c r="AH16" s="31">
        <v>0.3</v>
      </c>
      <c r="AI16" s="31">
        <v>0.24</v>
      </c>
      <c r="AJ16" s="29">
        <v>0.18</v>
      </c>
      <c r="AK16" s="29">
        <v>0.15</v>
      </c>
      <c r="AL16" s="62">
        <v>60</v>
      </c>
      <c r="AM16" s="31">
        <v>0</v>
      </c>
      <c r="AN16" s="31">
        <v>1</v>
      </c>
      <c r="AO16" s="31">
        <v>1</v>
      </c>
      <c r="AP16" s="31">
        <v>1</v>
      </c>
      <c r="AQ16" s="30">
        <v>0.25</v>
      </c>
      <c r="AR16" s="30">
        <v>1</v>
      </c>
      <c r="AS16" s="29">
        <v>0</v>
      </c>
      <c r="AT16" s="29" t="s">
        <v>160</v>
      </c>
      <c r="AU16" s="29" t="s">
        <v>160</v>
      </c>
      <c r="AV16" s="71">
        <v>0</v>
      </c>
      <c r="AW16" s="71">
        <v>0</v>
      </c>
      <c r="AX16" s="71">
        <v>0</v>
      </c>
      <c r="AY16" s="71">
        <v>0</v>
      </c>
      <c r="AZ16" s="19">
        <v>0.97</v>
      </c>
      <c r="BA16" s="65">
        <v>0</v>
      </c>
      <c r="BB16" s="29" t="b">
        <v>0</v>
      </c>
      <c r="BC16" s="29" t="s">
        <v>416</v>
      </c>
      <c r="BD16" s="29" t="s">
        <v>79</v>
      </c>
      <c r="BE16" s="29" t="b">
        <v>1</v>
      </c>
      <c r="BF16" s="29" t="b">
        <v>1</v>
      </c>
      <c r="BG16" s="62" t="b">
        <v>0</v>
      </c>
      <c r="BH16" s="30">
        <v>1</v>
      </c>
      <c r="BI16" s="29" t="b">
        <v>0</v>
      </c>
      <c r="BJ16" s="74">
        <v>6.9200000000000002E-4</v>
      </c>
      <c r="BK16" s="29" t="b">
        <v>0</v>
      </c>
      <c r="BL16" s="29" t="b">
        <v>0</v>
      </c>
      <c r="BM16" s="29">
        <v>1</v>
      </c>
      <c r="BN16" s="29">
        <v>0</v>
      </c>
      <c r="BO16" s="29">
        <v>1</v>
      </c>
      <c r="BP16" s="29">
        <v>1</v>
      </c>
      <c r="BQ16" s="29" t="b">
        <v>0</v>
      </c>
      <c r="BR16" s="29">
        <v>0</v>
      </c>
      <c r="BS16" s="53">
        <v>1</v>
      </c>
      <c r="BT16" s="62" t="b">
        <v>0</v>
      </c>
      <c r="BU16" s="29" t="b">
        <v>0</v>
      </c>
      <c r="BV16" s="29" t="b">
        <v>0</v>
      </c>
      <c r="BW16" s="29" t="s">
        <v>126</v>
      </c>
      <c r="BX16" s="62" t="b">
        <v>0</v>
      </c>
      <c r="BY16" s="62" t="s">
        <v>432</v>
      </c>
    </row>
    <row r="17" spans="1:77" x14ac:dyDescent="0.2">
      <c r="A17" s="18" t="s">
        <v>621</v>
      </c>
      <c r="B17" s="111" t="s">
        <v>1289</v>
      </c>
      <c r="C17" s="17" t="s">
        <v>75</v>
      </c>
      <c r="D17" s="164" t="s">
        <v>28</v>
      </c>
      <c r="E17" s="164" t="s">
        <v>416</v>
      </c>
      <c r="F17" s="63" t="s">
        <v>620</v>
      </c>
      <c r="G17" s="19" t="s">
        <v>376</v>
      </c>
      <c r="H17" s="37" t="s">
        <v>79</v>
      </c>
      <c r="I17" s="29" t="b">
        <v>0</v>
      </c>
      <c r="J17" s="17" t="s">
        <v>79</v>
      </c>
      <c r="K17" s="29" t="b">
        <v>0</v>
      </c>
      <c r="L17" s="70">
        <v>0</v>
      </c>
      <c r="M17" s="19">
        <v>1000</v>
      </c>
      <c r="N17" s="19">
        <v>1000</v>
      </c>
      <c r="O17" s="29">
        <v>0</v>
      </c>
      <c r="P17" s="29">
        <v>24</v>
      </c>
      <c r="Q17" s="29">
        <v>24</v>
      </c>
      <c r="R17" s="31">
        <v>1</v>
      </c>
      <c r="S17" s="31">
        <v>0</v>
      </c>
      <c r="T17" s="72">
        <v>0</v>
      </c>
      <c r="U17" s="29" t="s">
        <v>160</v>
      </c>
      <c r="V17" s="29" t="s">
        <v>160</v>
      </c>
      <c r="W17" s="75">
        <v>1</v>
      </c>
      <c r="X17" s="29" t="s">
        <v>79</v>
      </c>
      <c r="Y17" s="29">
        <v>30</v>
      </c>
      <c r="Z17" s="29">
        <v>0</v>
      </c>
      <c r="AA17" s="29">
        <v>0</v>
      </c>
      <c r="AB17" s="29" t="s">
        <v>160</v>
      </c>
      <c r="AC17" s="29" t="s">
        <v>160</v>
      </c>
      <c r="AD17" s="29">
        <v>0</v>
      </c>
      <c r="AE17" s="53">
        <v>0</v>
      </c>
      <c r="AF17" s="53">
        <v>0</v>
      </c>
      <c r="AG17" s="53">
        <v>0</v>
      </c>
      <c r="AH17" s="31">
        <v>0.3</v>
      </c>
      <c r="AI17" s="31">
        <v>0.24</v>
      </c>
      <c r="AJ17" s="29">
        <v>0.18</v>
      </c>
      <c r="AK17" s="29">
        <v>0.15</v>
      </c>
      <c r="AL17" s="62">
        <v>60</v>
      </c>
      <c r="AM17" s="31">
        <v>0</v>
      </c>
      <c r="AN17" s="31">
        <v>1</v>
      </c>
      <c r="AO17" s="31">
        <v>1</v>
      </c>
      <c r="AP17" s="31">
        <v>1</v>
      </c>
      <c r="AQ17" s="30">
        <v>0.25</v>
      </c>
      <c r="AR17" s="30">
        <v>1</v>
      </c>
      <c r="AS17" s="29">
        <v>0</v>
      </c>
      <c r="AT17" s="29" t="s">
        <v>160</v>
      </c>
      <c r="AU17" s="29" t="s">
        <v>160</v>
      </c>
      <c r="AV17" s="71">
        <v>0</v>
      </c>
      <c r="AW17" s="71">
        <v>0</v>
      </c>
      <c r="AX17" s="71">
        <v>0</v>
      </c>
      <c r="AY17" s="71">
        <v>0</v>
      </c>
      <c r="AZ17" s="19">
        <v>0.97</v>
      </c>
      <c r="BA17" s="65">
        <v>0</v>
      </c>
      <c r="BB17" s="29" t="b">
        <v>0</v>
      </c>
      <c r="BC17" s="29" t="s">
        <v>416</v>
      </c>
      <c r="BD17" s="29" t="s">
        <v>79</v>
      </c>
      <c r="BE17" s="29" t="b">
        <v>1</v>
      </c>
      <c r="BF17" s="29" t="b">
        <v>1</v>
      </c>
      <c r="BG17" s="62" t="b">
        <v>0</v>
      </c>
      <c r="BH17" s="30">
        <v>1</v>
      </c>
      <c r="BI17" s="29" t="b">
        <v>0</v>
      </c>
      <c r="BJ17" s="74">
        <v>6.9200000000000002E-4</v>
      </c>
      <c r="BK17" s="29" t="b">
        <v>0</v>
      </c>
      <c r="BL17" s="29" t="b">
        <v>0</v>
      </c>
      <c r="BM17" s="29">
        <v>1</v>
      </c>
      <c r="BN17" s="29">
        <v>0</v>
      </c>
      <c r="BO17" s="29">
        <v>0</v>
      </c>
      <c r="BP17" s="29">
        <v>0</v>
      </c>
      <c r="BQ17" s="29" t="b">
        <v>0</v>
      </c>
      <c r="BR17" s="29">
        <v>0</v>
      </c>
      <c r="BS17" s="53">
        <v>1</v>
      </c>
      <c r="BT17" s="62" t="b">
        <v>0</v>
      </c>
      <c r="BU17" s="29" t="b">
        <v>0</v>
      </c>
      <c r="BV17" s="29" t="b">
        <v>0</v>
      </c>
      <c r="BW17" s="29" t="s">
        <v>126</v>
      </c>
      <c r="BX17" s="62" t="b">
        <v>0</v>
      </c>
      <c r="BY17" s="62" t="s">
        <v>432</v>
      </c>
    </row>
    <row r="18" spans="1:77" x14ac:dyDescent="0.2">
      <c r="A18" s="18" t="s">
        <v>622</v>
      </c>
      <c r="B18" s="111" t="s">
        <v>1290</v>
      </c>
      <c r="C18" s="17" t="s">
        <v>75</v>
      </c>
      <c r="D18" s="164" t="s">
        <v>28</v>
      </c>
      <c r="E18" s="164" t="s">
        <v>416</v>
      </c>
      <c r="F18" s="63" t="s">
        <v>620</v>
      </c>
      <c r="G18" s="19" t="s">
        <v>376</v>
      </c>
      <c r="H18" s="37" t="s">
        <v>79</v>
      </c>
      <c r="I18" s="29" t="b">
        <v>0</v>
      </c>
      <c r="J18" s="17" t="s">
        <v>79</v>
      </c>
      <c r="K18" s="29" t="b">
        <v>0</v>
      </c>
      <c r="L18" s="70">
        <v>0</v>
      </c>
      <c r="M18" s="19">
        <v>1000</v>
      </c>
      <c r="N18" s="19">
        <v>1000</v>
      </c>
      <c r="O18" s="29">
        <v>0</v>
      </c>
      <c r="P18" s="29">
        <v>100</v>
      </c>
      <c r="Q18" s="29">
        <v>100</v>
      </c>
      <c r="R18" s="31">
        <v>1</v>
      </c>
      <c r="S18" s="31">
        <v>0</v>
      </c>
      <c r="T18" s="72">
        <v>0</v>
      </c>
      <c r="U18" s="29" t="s">
        <v>160</v>
      </c>
      <c r="V18" s="29" t="s">
        <v>160</v>
      </c>
      <c r="W18" s="75">
        <v>1</v>
      </c>
      <c r="X18" s="29" t="s">
        <v>79</v>
      </c>
      <c r="Y18" s="29">
        <v>30</v>
      </c>
      <c r="Z18" s="29">
        <v>0</v>
      </c>
      <c r="AA18" s="29">
        <v>0</v>
      </c>
      <c r="AB18" s="29" t="s">
        <v>160</v>
      </c>
      <c r="AC18" s="29" t="s">
        <v>160</v>
      </c>
      <c r="AD18" s="29">
        <v>0</v>
      </c>
      <c r="AE18" s="53">
        <v>0</v>
      </c>
      <c r="AF18" s="53">
        <v>0</v>
      </c>
      <c r="AG18" s="53">
        <v>0</v>
      </c>
      <c r="AH18" s="31">
        <v>0.3</v>
      </c>
      <c r="AI18" s="31">
        <v>0.24</v>
      </c>
      <c r="AJ18" s="29">
        <v>0.18</v>
      </c>
      <c r="AK18" s="29">
        <v>0.15</v>
      </c>
      <c r="AL18" s="62">
        <v>60</v>
      </c>
      <c r="AM18" s="31">
        <v>0</v>
      </c>
      <c r="AN18" s="31">
        <v>1</v>
      </c>
      <c r="AO18" s="31">
        <v>1</v>
      </c>
      <c r="AP18" s="31">
        <v>1</v>
      </c>
      <c r="AQ18" s="30">
        <v>0.25</v>
      </c>
      <c r="AR18" s="30">
        <v>1</v>
      </c>
      <c r="AS18" s="29">
        <v>0</v>
      </c>
      <c r="AT18" s="29" t="s">
        <v>160</v>
      </c>
      <c r="AU18" s="29" t="s">
        <v>160</v>
      </c>
      <c r="AV18" s="71">
        <v>0</v>
      </c>
      <c r="AW18" s="71">
        <v>0</v>
      </c>
      <c r="AX18" s="71">
        <v>0</v>
      </c>
      <c r="AY18" s="71">
        <v>0</v>
      </c>
      <c r="AZ18" s="19">
        <v>0.97</v>
      </c>
      <c r="BA18" s="65">
        <v>0</v>
      </c>
      <c r="BB18" s="29" t="b">
        <v>0</v>
      </c>
      <c r="BC18" s="29" t="s">
        <v>416</v>
      </c>
      <c r="BD18" s="29" t="s">
        <v>79</v>
      </c>
      <c r="BE18" s="29" t="b">
        <v>1</v>
      </c>
      <c r="BF18" s="29" t="b">
        <v>1</v>
      </c>
      <c r="BG18" s="62" t="b">
        <v>0</v>
      </c>
      <c r="BH18" s="30">
        <v>1</v>
      </c>
      <c r="BI18" s="29" t="b">
        <v>0</v>
      </c>
      <c r="BJ18" s="74">
        <v>6.9200000000000002E-4</v>
      </c>
      <c r="BK18" s="29" t="b">
        <v>0</v>
      </c>
      <c r="BL18" s="29" t="b">
        <v>0</v>
      </c>
      <c r="BM18" s="29">
        <v>1</v>
      </c>
      <c r="BN18" s="29">
        <v>0</v>
      </c>
      <c r="BO18" s="29">
        <v>1</v>
      </c>
      <c r="BP18" s="29">
        <v>1</v>
      </c>
      <c r="BQ18" s="29" t="b">
        <v>0</v>
      </c>
      <c r="BR18" s="29">
        <v>0</v>
      </c>
      <c r="BS18" s="53">
        <v>1</v>
      </c>
      <c r="BT18" s="62" t="b">
        <v>0</v>
      </c>
      <c r="BU18" s="29" t="b">
        <v>0</v>
      </c>
      <c r="BV18" s="29" t="b">
        <v>0</v>
      </c>
      <c r="BW18" s="29" t="s">
        <v>126</v>
      </c>
      <c r="BX18" s="62" t="b">
        <v>0</v>
      </c>
      <c r="BY18" s="62" t="s">
        <v>432</v>
      </c>
    </row>
    <row r="19" spans="1:77" x14ac:dyDescent="0.2">
      <c r="A19" s="18" t="s">
        <v>623</v>
      </c>
      <c r="B19" s="111" t="s">
        <v>1255</v>
      </c>
      <c r="C19" s="17" t="s">
        <v>75</v>
      </c>
      <c r="D19" s="164" t="s">
        <v>28</v>
      </c>
      <c r="E19" s="164" t="s">
        <v>28</v>
      </c>
      <c r="F19" s="63" t="s">
        <v>613</v>
      </c>
      <c r="G19" s="19" t="s">
        <v>376</v>
      </c>
      <c r="H19" s="37" t="s">
        <v>79</v>
      </c>
      <c r="I19" s="29" t="b">
        <v>0</v>
      </c>
      <c r="J19" s="17" t="s">
        <v>79</v>
      </c>
      <c r="K19" s="29" t="b">
        <v>0</v>
      </c>
      <c r="L19" s="70">
        <v>0</v>
      </c>
      <c r="M19" s="19">
        <v>100</v>
      </c>
      <c r="N19" s="19">
        <v>100</v>
      </c>
      <c r="O19" s="29">
        <v>0</v>
      </c>
      <c r="P19" s="29">
        <v>10</v>
      </c>
      <c r="Q19" s="29">
        <v>10</v>
      </c>
      <c r="R19" s="31">
        <v>1</v>
      </c>
      <c r="S19" s="31">
        <v>0</v>
      </c>
      <c r="T19" s="72">
        <v>0</v>
      </c>
      <c r="U19" s="29" t="s">
        <v>160</v>
      </c>
      <c r="V19" s="29" t="s">
        <v>160</v>
      </c>
      <c r="W19" s="75">
        <v>1</v>
      </c>
      <c r="X19" s="29" t="s">
        <v>79</v>
      </c>
      <c r="Y19" s="29">
        <v>30</v>
      </c>
      <c r="Z19" s="29">
        <v>0</v>
      </c>
      <c r="AA19" s="29">
        <v>0</v>
      </c>
      <c r="AB19" s="29" t="s">
        <v>160</v>
      </c>
      <c r="AC19" s="29" t="s">
        <v>160</v>
      </c>
      <c r="AD19" s="29">
        <v>0</v>
      </c>
      <c r="AE19" s="53">
        <v>0</v>
      </c>
      <c r="AF19" s="53">
        <v>0</v>
      </c>
      <c r="AG19" s="53">
        <v>0</v>
      </c>
      <c r="AH19" s="31">
        <v>0.3</v>
      </c>
      <c r="AI19" s="31">
        <v>0.24</v>
      </c>
      <c r="AJ19" s="29">
        <v>0.18</v>
      </c>
      <c r="AK19" s="29">
        <v>0.15</v>
      </c>
      <c r="AL19" s="62">
        <v>40</v>
      </c>
      <c r="AM19" s="31">
        <v>0</v>
      </c>
      <c r="AN19" s="31">
        <v>1</v>
      </c>
      <c r="AO19" s="31">
        <v>1</v>
      </c>
      <c r="AP19" s="31">
        <v>1</v>
      </c>
      <c r="AQ19" s="30">
        <v>1</v>
      </c>
      <c r="AR19" s="30">
        <v>1</v>
      </c>
      <c r="AS19" s="29">
        <v>0</v>
      </c>
      <c r="AT19" s="29" t="s">
        <v>160</v>
      </c>
      <c r="AU19" s="29" t="s">
        <v>160</v>
      </c>
      <c r="AV19" s="71">
        <v>0</v>
      </c>
      <c r="AW19" s="71">
        <v>0</v>
      </c>
      <c r="AX19" s="71">
        <v>0</v>
      </c>
      <c r="AY19" s="71">
        <v>0</v>
      </c>
      <c r="AZ19" s="19">
        <v>0.97</v>
      </c>
      <c r="BA19" s="65">
        <v>0</v>
      </c>
      <c r="BB19" s="29" t="b">
        <v>0</v>
      </c>
      <c r="BC19" s="29" t="b">
        <v>0</v>
      </c>
      <c r="BD19" s="29" t="s">
        <v>79</v>
      </c>
      <c r="BE19" s="29" t="b">
        <v>1</v>
      </c>
      <c r="BF19" s="29" t="b">
        <v>1</v>
      </c>
      <c r="BG19" s="62" t="b">
        <v>0</v>
      </c>
      <c r="BH19" s="30">
        <v>1</v>
      </c>
      <c r="BI19" s="29" t="b">
        <v>0</v>
      </c>
      <c r="BJ19" s="74">
        <v>6.9200000000000002E-4</v>
      </c>
      <c r="BK19" s="29" t="b">
        <v>0</v>
      </c>
      <c r="BL19" s="29" t="b">
        <v>0</v>
      </c>
      <c r="BM19" s="29">
        <v>50</v>
      </c>
      <c r="BN19" s="29">
        <v>0</v>
      </c>
      <c r="BO19" s="29">
        <v>0</v>
      </c>
      <c r="BP19" s="29">
        <v>0</v>
      </c>
      <c r="BQ19" s="29" t="b">
        <v>0</v>
      </c>
      <c r="BR19" s="29">
        <v>0</v>
      </c>
      <c r="BS19" s="53">
        <v>1</v>
      </c>
      <c r="BT19" s="62" t="b">
        <v>0</v>
      </c>
      <c r="BU19" s="29" t="b">
        <v>0</v>
      </c>
      <c r="BV19" s="29" t="b">
        <v>0</v>
      </c>
      <c r="BW19" s="29" t="s">
        <v>79</v>
      </c>
      <c r="BX19" s="62" t="b">
        <v>0</v>
      </c>
      <c r="BY19" s="62" t="s">
        <v>432</v>
      </c>
    </row>
    <row r="20" spans="1:77" x14ac:dyDescent="0.2">
      <c r="A20" s="18" t="s">
        <v>624</v>
      </c>
      <c r="B20" s="111" t="s">
        <v>1256</v>
      </c>
      <c r="C20" s="17" t="s">
        <v>75</v>
      </c>
      <c r="D20" s="164" t="s">
        <v>28</v>
      </c>
      <c r="E20" s="164" t="s">
        <v>28</v>
      </c>
      <c r="F20" s="63" t="s">
        <v>613</v>
      </c>
      <c r="G20" s="19" t="s">
        <v>376</v>
      </c>
      <c r="H20" s="37" t="s">
        <v>79</v>
      </c>
      <c r="I20" s="29" t="b">
        <v>0</v>
      </c>
      <c r="J20" s="17" t="s">
        <v>79</v>
      </c>
      <c r="K20" s="29" t="b">
        <v>0</v>
      </c>
      <c r="L20" s="70">
        <v>0</v>
      </c>
      <c r="M20" s="19">
        <v>100</v>
      </c>
      <c r="N20" s="19">
        <v>100</v>
      </c>
      <c r="O20" s="29">
        <v>0</v>
      </c>
      <c r="P20" s="29">
        <v>24</v>
      </c>
      <c r="Q20" s="29">
        <v>24</v>
      </c>
      <c r="R20" s="31">
        <v>1</v>
      </c>
      <c r="S20" s="31">
        <v>0</v>
      </c>
      <c r="T20" s="72">
        <v>0</v>
      </c>
      <c r="U20" s="29" t="s">
        <v>160</v>
      </c>
      <c r="V20" s="29" t="s">
        <v>160</v>
      </c>
      <c r="W20" s="75">
        <v>1</v>
      </c>
      <c r="X20" s="29" t="s">
        <v>79</v>
      </c>
      <c r="Y20" s="29">
        <v>30</v>
      </c>
      <c r="Z20" s="29">
        <v>0</v>
      </c>
      <c r="AA20" s="29">
        <v>0</v>
      </c>
      <c r="AB20" s="29" t="s">
        <v>160</v>
      </c>
      <c r="AC20" s="29" t="s">
        <v>160</v>
      </c>
      <c r="AD20" s="29">
        <v>0</v>
      </c>
      <c r="AE20" s="53">
        <v>0</v>
      </c>
      <c r="AF20" s="53">
        <v>0</v>
      </c>
      <c r="AG20" s="53">
        <v>0</v>
      </c>
      <c r="AH20" s="31">
        <v>0.3</v>
      </c>
      <c r="AI20" s="31">
        <v>0.24</v>
      </c>
      <c r="AJ20" s="29">
        <v>0.18</v>
      </c>
      <c r="AK20" s="29">
        <v>0.15</v>
      </c>
      <c r="AL20" s="62">
        <v>40</v>
      </c>
      <c r="AM20" s="31">
        <v>0</v>
      </c>
      <c r="AN20" s="31">
        <v>1</v>
      </c>
      <c r="AO20" s="31">
        <v>1</v>
      </c>
      <c r="AP20" s="31">
        <v>1</v>
      </c>
      <c r="AQ20" s="30">
        <v>1</v>
      </c>
      <c r="AR20" s="30">
        <v>1</v>
      </c>
      <c r="AS20" s="29">
        <v>0</v>
      </c>
      <c r="AT20" s="29" t="s">
        <v>160</v>
      </c>
      <c r="AU20" s="29" t="s">
        <v>160</v>
      </c>
      <c r="AV20" s="71">
        <v>0</v>
      </c>
      <c r="AW20" s="71">
        <v>0</v>
      </c>
      <c r="AX20" s="71">
        <v>0</v>
      </c>
      <c r="AY20" s="71">
        <v>0</v>
      </c>
      <c r="AZ20" s="19">
        <v>0.97</v>
      </c>
      <c r="BA20" s="65">
        <v>0</v>
      </c>
      <c r="BB20" s="29" t="b">
        <v>0</v>
      </c>
      <c r="BC20" s="29" t="b">
        <v>0</v>
      </c>
      <c r="BD20" s="29" t="s">
        <v>79</v>
      </c>
      <c r="BE20" s="29" t="b">
        <v>1</v>
      </c>
      <c r="BF20" s="29" t="b">
        <v>1</v>
      </c>
      <c r="BG20" s="62" t="b">
        <v>0</v>
      </c>
      <c r="BH20" s="30">
        <v>1</v>
      </c>
      <c r="BI20" s="29" t="b">
        <v>0</v>
      </c>
      <c r="BJ20" s="74">
        <v>6.9200000000000002E-4</v>
      </c>
      <c r="BK20" s="29" t="b">
        <v>0</v>
      </c>
      <c r="BL20" s="29" t="b">
        <v>0</v>
      </c>
      <c r="BM20" s="29">
        <v>50</v>
      </c>
      <c r="BN20" s="29">
        <v>0</v>
      </c>
      <c r="BO20" s="29">
        <v>0</v>
      </c>
      <c r="BP20" s="29">
        <v>0</v>
      </c>
      <c r="BQ20" s="29" t="b">
        <v>0</v>
      </c>
      <c r="BR20" s="29">
        <v>0</v>
      </c>
      <c r="BS20" s="53">
        <v>1</v>
      </c>
      <c r="BT20" s="62" t="b">
        <v>0</v>
      </c>
      <c r="BU20" s="29" t="b">
        <v>0</v>
      </c>
      <c r="BV20" s="29" t="b">
        <v>0</v>
      </c>
      <c r="BW20" s="29" t="s">
        <v>79</v>
      </c>
      <c r="BX20" s="62" t="b">
        <v>0</v>
      </c>
      <c r="BY20" s="62" t="s">
        <v>432</v>
      </c>
    </row>
    <row r="21" spans="1:77" x14ac:dyDescent="0.2">
      <c r="A21" s="18" t="s">
        <v>625</v>
      </c>
      <c r="B21" s="111" t="s">
        <v>1257</v>
      </c>
      <c r="C21" s="17" t="s">
        <v>75</v>
      </c>
      <c r="D21" s="164" t="s">
        <v>28</v>
      </c>
      <c r="E21" s="164" t="s">
        <v>28</v>
      </c>
      <c r="F21" s="63" t="s">
        <v>613</v>
      </c>
      <c r="G21" s="19" t="s">
        <v>376</v>
      </c>
      <c r="H21" s="37" t="s">
        <v>79</v>
      </c>
      <c r="I21" s="29" t="b">
        <v>0</v>
      </c>
      <c r="J21" s="17" t="s">
        <v>79</v>
      </c>
      <c r="K21" s="29" t="b">
        <v>0</v>
      </c>
      <c r="L21" s="70">
        <v>0</v>
      </c>
      <c r="M21" s="19">
        <v>100</v>
      </c>
      <c r="N21" s="19">
        <v>100</v>
      </c>
      <c r="O21" s="29">
        <v>0</v>
      </c>
      <c r="P21" s="29">
        <v>100</v>
      </c>
      <c r="Q21" s="29">
        <v>100</v>
      </c>
      <c r="R21" s="31">
        <v>1</v>
      </c>
      <c r="S21" s="31">
        <v>0</v>
      </c>
      <c r="T21" s="72">
        <v>0</v>
      </c>
      <c r="U21" s="29" t="s">
        <v>160</v>
      </c>
      <c r="V21" s="29" t="s">
        <v>160</v>
      </c>
      <c r="W21" s="75">
        <v>1</v>
      </c>
      <c r="X21" s="29" t="s">
        <v>79</v>
      </c>
      <c r="Y21" s="29">
        <v>30</v>
      </c>
      <c r="Z21" s="29">
        <v>0</v>
      </c>
      <c r="AA21" s="29">
        <v>0</v>
      </c>
      <c r="AB21" s="29" t="s">
        <v>160</v>
      </c>
      <c r="AC21" s="29" t="s">
        <v>160</v>
      </c>
      <c r="AD21" s="29">
        <v>0</v>
      </c>
      <c r="AE21" s="53">
        <v>0</v>
      </c>
      <c r="AF21" s="53">
        <v>0</v>
      </c>
      <c r="AG21" s="53">
        <v>0</v>
      </c>
      <c r="AH21" s="31">
        <v>0.3</v>
      </c>
      <c r="AI21" s="31">
        <v>0.24</v>
      </c>
      <c r="AJ21" s="29">
        <v>0.18</v>
      </c>
      <c r="AK21" s="29">
        <v>0.15</v>
      </c>
      <c r="AL21" s="62">
        <v>40</v>
      </c>
      <c r="AM21" s="31">
        <v>0</v>
      </c>
      <c r="AN21" s="31">
        <v>1</v>
      </c>
      <c r="AO21" s="31">
        <v>1</v>
      </c>
      <c r="AP21" s="31">
        <v>1</v>
      </c>
      <c r="AQ21" s="30">
        <v>1</v>
      </c>
      <c r="AR21" s="30">
        <v>1</v>
      </c>
      <c r="AS21" s="29">
        <v>0</v>
      </c>
      <c r="AT21" s="29" t="s">
        <v>160</v>
      </c>
      <c r="AU21" s="29" t="s">
        <v>160</v>
      </c>
      <c r="AV21" s="71">
        <v>0</v>
      </c>
      <c r="AW21" s="71">
        <v>0</v>
      </c>
      <c r="AX21" s="71">
        <v>0</v>
      </c>
      <c r="AY21" s="71">
        <v>0</v>
      </c>
      <c r="AZ21" s="19">
        <v>0.97</v>
      </c>
      <c r="BA21" s="65">
        <v>0</v>
      </c>
      <c r="BB21" s="29" t="b">
        <v>0</v>
      </c>
      <c r="BC21" s="29" t="b">
        <v>0</v>
      </c>
      <c r="BD21" s="29" t="s">
        <v>79</v>
      </c>
      <c r="BE21" s="29" t="b">
        <v>1</v>
      </c>
      <c r="BF21" s="29" t="b">
        <v>1</v>
      </c>
      <c r="BG21" s="62" t="b">
        <v>0</v>
      </c>
      <c r="BH21" s="30">
        <v>1</v>
      </c>
      <c r="BI21" s="29" t="b">
        <v>0</v>
      </c>
      <c r="BJ21" s="74">
        <v>6.9200000000000002E-4</v>
      </c>
      <c r="BK21" s="29" t="b">
        <v>0</v>
      </c>
      <c r="BL21" s="29" t="b">
        <v>0</v>
      </c>
      <c r="BM21" s="29">
        <v>50</v>
      </c>
      <c r="BN21" s="29">
        <v>0</v>
      </c>
      <c r="BO21" s="29">
        <v>0</v>
      </c>
      <c r="BP21" s="29">
        <v>0</v>
      </c>
      <c r="BQ21" s="29" t="b">
        <v>0</v>
      </c>
      <c r="BR21" s="29">
        <v>0</v>
      </c>
      <c r="BS21" s="53">
        <v>1</v>
      </c>
      <c r="BT21" s="62" t="b">
        <v>0</v>
      </c>
      <c r="BU21" s="29" t="b">
        <v>0</v>
      </c>
      <c r="BV21" s="29" t="b">
        <v>0</v>
      </c>
      <c r="BW21" s="29" t="s">
        <v>79</v>
      </c>
      <c r="BX21" s="62" t="b">
        <v>0</v>
      </c>
      <c r="BY21" s="62" t="s">
        <v>432</v>
      </c>
    </row>
    <row r="22" spans="1:77" x14ac:dyDescent="0.2">
      <c r="A22" s="18" t="s">
        <v>626</v>
      </c>
      <c r="B22" s="111" t="s">
        <v>1258</v>
      </c>
      <c r="C22" s="17" t="s">
        <v>75</v>
      </c>
      <c r="D22" s="164" t="s">
        <v>28</v>
      </c>
      <c r="E22" s="164" t="s">
        <v>28</v>
      </c>
      <c r="F22" s="63" t="s">
        <v>613</v>
      </c>
      <c r="G22" s="19" t="s">
        <v>376</v>
      </c>
      <c r="H22" s="37" t="s">
        <v>79</v>
      </c>
      <c r="I22" s="29" t="b">
        <v>0</v>
      </c>
      <c r="J22" s="17" t="s">
        <v>79</v>
      </c>
      <c r="K22" s="29" t="b">
        <v>0</v>
      </c>
      <c r="L22" s="70">
        <v>0</v>
      </c>
      <c r="M22" s="19">
        <v>100</v>
      </c>
      <c r="N22" s="19">
        <v>100</v>
      </c>
      <c r="O22" s="29">
        <v>0</v>
      </c>
      <c r="P22" s="29">
        <v>2</v>
      </c>
      <c r="Q22" s="29">
        <v>2</v>
      </c>
      <c r="R22" s="31">
        <v>1</v>
      </c>
      <c r="S22" s="31">
        <v>0</v>
      </c>
      <c r="T22" s="72">
        <v>0</v>
      </c>
      <c r="U22" s="29" t="s">
        <v>160</v>
      </c>
      <c r="V22" s="29" t="s">
        <v>160</v>
      </c>
      <c r="W22" s="75">
        <v>1</v>
      </c>
      <c r="X22" s="29" t="s">
        <v>79</v>
      </c>
      <c r="Y22" s="29">
        <v>16</v>
      </c>
      <c r="Z22" s="29">
        <v>0</v>
      </c>
      <c r="AA22" s="29">
        <v>0</v>
      </c>
      <c r="AB22" s="29" t="s">
        <v>160</v>
      </c>
      <c r="AC22" s="29" t="s">
        <v>160</v>
      </c>
      <c r="AD22" s="29">
        <v>0</v>
      </c>
      <c r="AE22" s="53">
        <v>0</v>
      </c>
      <c r="AF22" s="53">
        <v>0</v>
      </c>
      <c r="AG22" s="53">
        <v>0</v>
      </c>
      <c r="AH22" s="31">
        <v>0.3</v>
      </c>
      <c r="AI22" s="31">
        <v>0.24</v>
      </c>
      <c r="AJ22" s="29">
        <v>0.18</v>
      </c>
      <c r="AK22" s="29">
        <v>0.15</v>
      </c>
      <c r="AL22" s="62">
        <v>16</v>
      </c>
      <c r="AM22" s="31">
        <v>0</v>
      </c>
      <c r="AN22" s="31">
        <v>1</v>
      </c>
      <c r="AO22" s="31">
        <v>1</v>
      </c>
      <c r="AP22" s="31">
        <v>1</v>
      </c>
      <c r="AQ22" s="30">
        <v>1</v>
      </c>
      <c r="AR22" s="30">
        <v>1</v>
      </c>
      <c r="AS22" s="29">
        <v>0</v>
      </c>
      <c r="AT22" s="29" t="s">
        <v>160</v>
      </c>
      <c r="AU22" s="29" t="s">
        <v>160</v>
      </c>
      <c r="AV22" s="71">
        <v>0</v>
      </c>
      <c r="AW22" s="71">
        <v>0</v>
      </c>
      <c r="AX22" s="71">
        <v>0</v>
      </c>
      <c r="AY22" s="71">
        <v>0</v>
      </c>
      <c r="AZ22" s="19">
        <v>0.97</v>
      </c>
      <c r="BA22" s="65">
        <v>0</v>
      </c>
      <c r="BB22" s="29" t="b">
        <v>0</v>
      </c>
      <c r="BC22" s="29" t="b">
        <v>0</v>
      </c>
      <c r="BD22" s="29" t="s">
        <v>79</v>
      </c>
      <c r="BE22" s="29" t="b">
        <v>1</v>
      </c>
      <c r="BF22" s="29" t="b">
        <v>1</v>
      </c>
      <c r="BG22" s="62" t="b">
        <v>0</v>
      </c>
      <c r="BH22" s="30">
        <v>1</v>
      </c>
      <c r="BI22" s="29" t="b">
        <v>0</v>
      </c>
      <c r="BJ22" s="74">
        <v>6.9200000000000002E-4</v>
      </c>
      <c r="BK22" s="29" t="b">
        <v>0</v>
      </c>
      <c r="BL22" s="29" t="b">
        <v>0</v>
      </c>
      <c r="BM22" s="29">
        <v>50</v>
      </c>
      <c r="BN22" s="29">
        <v>0</v>
      </c>
      <c r="BO22" s="29">
        <v>0</v>
      </c>
      <c r="BP22" s="29">
        <v>0</v>
      </c>
      <c r="BQ22" s="29" t="b">
        <v>0</v>
      </c>
      <c r="BR22" s="29">
        <v>0</v>
      </c>
      <c r="BS22" s="53">
        <v>1</v>
      </c>
      <c r="BT22" s="62" t="b">
        <v>0</v>
      </c>
      <c r="BU22" s="29" t="b">
        <v>0</v>
      </c>
      <c r="BV22" s="29" t="b">
        <v>0</v>
      </c>
      <c r="BW22" s="29" t="s">
        <v>79</v>
      </c>
      <c r="BX22" s="62" t="b">
        <v>0</v>
      </c>
      <c r="BY22" s="62" t="s">
        <v>432</v>
      </c>
    </row>
    <row r="23" spans="1:77" x14ac:dyDescent="0.2">
      <c r="A23" s="18" t="s">
        <v>627</v>
      </c>
      <c r="B23" s="111" t="s">
        <v>1259</v>
      </c>
      <c r="C23" s="17" t="s">
        <v>75</v>
      </c>
      <c r="D23" s="164" t="s">
        <v>28</v>
      </c>
      <c r="E23" s="164" t="s">
        <v>28</v>
      </c>
      <c r="F23" s="63" t="s">
        <v>613</v>
      </c>
      <c r="G23" s="19" t="s">
        <v>376</v>
      </c>
      <c r="H23" s="37" t="s">
        <v>79</v>
      </c>
      <c r="I23" s="29" t="b">
        <v>0</v>
      </c>
      <c r="J23" s="17" t="s">
        <v>79</v>
      </c>
      <c r="K23" s="29" t="b">
        <v>0</v>
      </c>
      <c r="L23" s="70">
        <v>0</v>
      </c>
      <c r="M23" s="19">
        <v>100</v>
      </c>
      <c r="N23" s="19">
        <v>100</v>
      </c>
      <c r="O23" s="29">
        <v>0</v>
      </c>
      <c r="P23" s="29">
        <v>4</v>
      </c>
      <c r="Q23" s="29">
        <v>4</v>
      </c>
      <c r="R23" s="31">
        <v>1</v>
      </c>
      <c r="S23" s="31">
        <v>0</v>
      </c>
      <c r="T23" s="72">
        <v>0</v>
      </c>
      <c r="U23" s="29" t="s">
        <v>160</v>
      </c>
      <c r="V23" s="29" t="s">
        <v>160</v>
      </c>
      <c r="W23" s="75">
        <v>1</v>
      </c>
      <c r="X23" s="29" t="s">
        <v>79</v>
      </c>
      <c r="Y23" s="29">
        <v>16</v>
      </c>
      <c r="Z23" s="29">
        <v>0</v>
      </c>
      <c r="AA23" s="29">
        <v>0</v>
      </c>
      <c r="AB23" s="29" t="s">
        <v>160</v>
      </c>
      <c r="AC23" s="29" t="s">
        <v>160</v>
      </c>
      <c r="AD23" s="29">
        <v>0</v>
      </c>
      <c r="AE23" s="53">
        <v>0</v>
      </c>
      <c r="AF23" s="53">
        <v>0</v>
      </c>
      <c r="AG23" s="53">
        <v>0</v>
      </c>
      <c r="AH23" s="31">
        <v>0.3</v>
      </c>
      <c r="AI23" s="31">
        <v>0.24</v>
      </c>
      <c r="AJ23" s="29">
        <v>0.18</v>
      </c>
      <c r="AK23" s="29">
        <v>0.15</v>
      </c>
      <c r="AL23" s="62">
        <v>16</v>
      </c>
      <c r="AM23" s="31">
        <v>0</v>
      </c>
      <c r="AN23" s="31">
        <v>1</v>
      </c>
      <c r="AO23" s="31">
        <v>1</v>
      </c>
      <c r="AP23" s="31">
        <v>1</v>
      </c>
      <c r="AQ23" s="30">
        <v>1</v>
      </c>
      <c r="AR23" s="30">
        <v>1</v>
      </c>
      <c r="AS23" s="29">
        <v>0</v>
      </c>
      <c r="AT23" s="29" t="s">
        <v>160</v>
      </c>
      <c r="AU23" s="29" t="s">
        <v>160</v>
      </c>
      <c r="AV23" s="71">
        <v>0</v>
      </c>
      <c r="AW23" s="71">
        <v>0</v>
      </c>
      <c r="AX23" s="71">
        <v>0</v>
      </c>
      <c r="AY23" s="71">
        <v>0</v>
      </c>
      <c r="AZ23" s="19">
        <v>0.97</v>
      </c>
      <c r="BA23" s="65">
        <v>0</v>
      </c>
      <c r="BB23" s="29" t="b">
        <v>0</v>
      </c>
      <c r="BC23" s="29" t="b">
        <v>0</v>
      </c>
      <c r="BD23" s="29" t="s">
        <v>79</v>
      </c>
      <c r="BE23" s="29" t="b">
        <v>1</v>
      </c>
      <c r="BF23" s="29" t="b">
        <v>1</v>
      </c>
      <c r="BG23" s="62" t="b">
        <v>0</v>
      </c>
      <c r="BH23" s="30">
        <v>1</v>
      </c>
      <c r="BI23" s="29" t="b">
        <v>0</v>
      </c>
      <c r="BJ23" s="74">
        <v>6.9200000000000002E-4</v>
      </c>
      <c r="BK23" s="29" t="b">
        <v>1</v>
      </c>
      <c r="BL23" s="29" t="b">
        <v>0</v>
      </c>
      <c r="BM23" s="29">
        <v>500</v>
      </c>
      <c r="BN23" s="29">
        <v>0</v>
      </c>
      <c r="BO23" s="29">
        <v>0</v>
      </c>
      <c r="BP23" s="29">
        <v>0</v>
      </c>
      <c r="BQ23" s="29" t="b">
        <v>0</v>
      </c>
      <c r="BR23" s="29">
        <v>0</v>
      </c>
      <c r="BS23" s="53">
        <v>1</v>
      </c>
      <c r="BT23" s="62" t="b">
        <v>0</v>
      </c>
      <c r="BU23" s="29" t="b">
        <v>0</v>
      </c>
      <c r="BV23" s="29" t="b">
        <v>0</v>
      </c>
      <c r="BW23" s="29" t="s">
        <v>79</v>
      </c>
      <c r="BX23" s="62" t="b">
        <v>0</v>
      </c>
      <c r="BY23" s="62" t="s">
        <v>432</v>
      </c>
    </row>
    <row r="24" spans="1:77" x14ac:dyDescent="0.2">
      <c r="A24" s="18" t="s">
        <v>628</v>
      </c>
      <c r="B24" s="111" t="s">
        <v>1260</v>
      </c>
      <c r="C24" s="17" t="s">
        <v>75</v>
      </c>
      <c r="D24" s="164" t="s">
        <v>28</v>
      </c>
      <c r="E24" s="164" t="s">
        <v>28</v>
      </c>
      <c r="F24" s="63" t="s">
        <v>613</v>
      </c>
      <c r="G24" s="19" t="s">
        <v>376</v>
      </c>
      <c r="H24" s="37" t="s">
        <v>79</v>
      </c>
      <c r="I24" s="29" t="b">
        <v>0</v>
      </c>
      <c r="J24" s="17" t="s">
        <v>79</v>
      </c>
      <c r="K24" s="29" t="b">
        <v>0</v>
      </c>
      <c r="L24" s="70">
        <v>0</v>
      </c>
      <c r="M24" s="19">
        <v>100</v>
      </c>
      <c r="N24" s="19">
        <v>100</v>
      </c>
      <c r="O24" s="29">
        <v>0</v>
      </c>
      <c r="P24" s="29">
        <v>8</v>
      </c>
      <c r="Q24" s="29">
        <v>8</v>
      </c>
      <c r="R24" s="31">
        <v>1</v>
      </c>
      <c r="S24" s="31">
        <v>0</v>
      </c>
      <c r="T24" s="72">
        <v>0</v>
      </c>
      <c r="U24" s="29" t="s">
        <v>160</v>
      </c>
      <c r="V24" s="29" t="s">
        <v>160</v>
      </c>
      <c r="W24" s="75">
        <v>1</v>
      </c>
      <c r="X24" s="29" t="s">
        <v>79</v>
      </c>
      <c r="Y24" s="29">
        <v>16</v>
      </c>
      <c r="Z24" s="29">
        <v>0</v>
      </c>
      <c r="AA24" s="29">
        <v>0</v>
      </c>
      <c r="AB24" s="29" t="s">
        <v>160</v>
      </c>
      <c r="AC24" s="29" t="s">
        <v>160</v>
      </c>
      <c r="AD24" s="29">
        <v>0</v>
      </c>
      <c r="AE24" s="53">
        <v>0</v>
      </c>
      <c r="AF24" s="53">
        <v>0</v>
      </c>
      <c r="AG24" s="53">
        <v>0</v>
      </c>
      <c r="AH24" s="31">
        <v>0.3</v>
      </c>
      <c r="AI24" s="31">
        <v>0.24</v>
      </c>
      <c r="AJ24" s="29">
        <v>0.18</v>
      </c>
      <c r="AK24" s="29">
        <v>0.15</v>
      </c>
      <c r="AL24" s="62">
        <v>16</v>
      </c>
      <c r="AM24" s="31">
        <v>0</v>
      </c>
      <c r="AN24" s="31">
        <v>1</v>
      </c>
      <c r="AO24" s="31">
        <v>1</v>
      </c>
      <c r="AP24" s="31">
        <v>1</v>
      </c>
      <c r="AQ24" s="30">
        <v>1</v>
      </c>
      <c r="AR24" s="30">
        <v>1</v>
      </c>
      <c r="AS24" s="29">
        <v>0</v>
      </c>
      <c r="AT24" s="29" t="s">
        <v>160</v>
      </c>
      <c r="AU24" s="29" t="s">
        <v>160</v>
      </c>
      <c r="AV24" s="71">
        <v>0</v>
      </c>
      <c r="AW24" s="71">
        <v>0</v>
      </c>
      <c r="AX24" s="71">
        <v>0</v>
      </c>
      <c r="AY24" s="71">
        <v>0</v>
      </c>
      <c r="AZ24" s="19">
        <v>0.97</v>
      </c>
      <c r="BA24" s="65">
        <v>0</v>
      </c>
      <c r="BB24" s="29" t="b">
        <v>0</v>
      </c>
      <c r="BC24" s="29" t="b">
        <v>0</v>
      </c>
      <c r="BD24" s="29" t="s">
        <v>79</v>
      </c>
      <c r="BE24" s="29" t="b">
        <v>1</v>
      </c>
      <c r="BF24" s="29" t="b">
        <v>1</v>
      </c>
      <c r="BG24" s="62" t="b">
        <v>0</v>
      </c>
      <c r="BH24" s="30">
        <v>1</v>
      </c>
      <c r="BI24" s="29" t="b">
        <v>0</v>
      </c>
      <c r="BJ24" s="74">
        <v>6.9200000000000002E-4</v>
      </c>
      <c r="BK24" s="29" t="b">
        <v>0</v>
      </c>
      <c r="BL24" s="29" t="b">
        <v>0</v>
      </c>
      <c r="BM24" s="29">
        <v>50</v>
      </c>
      <c r="BN24" s="29">
        <v>0</v>
      </c>
      <c r="BO24" s="29">
        <v>0</v>
      </c>
      <c r="BP24" s="29">
        <v>0</v>
      </c>
      <c r="BQ24" s="29" t="b">
        <v>0</v>
      </c>
      <c r="BR24" s="29">
        <v>0</v>
      </c>
      <c r="BS24" s="53">
        <v>1</v>
      </c>
      <c r="BT24" s="62" t="b">
        <v>0</v>
      </c>
      <c r="BU24" s="29" t="b">
        <v>0</v>
      </c>
      <c r="BV24" s="29" t="b">
        <v>0</v>
      </c>
      <c r="BW24" s="29" t="s">
        <v>79</v>
      </c>
      <c r="BX24" s="62" t="b">
        <v>0</v>
      </c>
      <c r="BY24" s="62" t="s">
        <v>432</v>
      </c>
    </row>
    <row r="25" spans="1:77" x14ac:dyDescent="0.2">
      <c r="A25" s="18" t="s">
        <v>629</v>
      </c>
      <c r="B25" s="111" t="s">
        <v>1261</v>
      </c>
      <c r="C25" s="17" t="s">
        <v>75</v>
      </c>
      <c r="D25" s="164" t="s">
        <v>28</v>
      </c>
      <c r="E25" s="164" t="s">
        <v>28</v>
      </c>
      <c r="F25" s="63" t="s">
        <v>613</v>
      </c>
      <c r="G25" s="19" t="s">
        <v>376</v>
      </c>
      <c r="H25" s="37" t="s">
        <v>79</v>
      </c>
      <c r="I25" s="29" t="b">
        <v>0</v>
      </c>
      <c r="J25" s="17" t="s">
        <v>79</v>
      </c>
      <c r="K25" s="29" t="b">
        <v>0</v>
      </c>
      <c r="L25" s="70">
        <v>0</v>
      </c>
      <c r="M25" s="19">
        <v>100</v>
      </c>
      <c r="N25" s="19">
        <v>100</v>
      </c>
      <c r="O25" s="29">
        <v>0</v>
      </c>
      <c r="P25" s="29">
        <v>10</v>
      </c>
      <c r="Q25" s="29">
        <v>10</v>
      </c>
      <c r="R25" s="31">
        <v>1</v>
      </c>
      <c r="S25" s="31">
        <v>0</v>
      </c>
      <c r="T25" s="72">
        <v>0</v>
      </c>
      <c r="U25" s="29" t="s">
        <v>160</v>
      </c>
      <c r="V25" s="29" t="s">
        <v>160</v>
      </c>
      <c r="W25" s="75">
        <v>1</v>
      </c>
      <c r="X25" s="29" t="s">
        <v>79</v>
      </c>
      <c r="Y25" s="29">
        <v>16</v>
      </c>
      <c r="Z25" s="29">
        <v>0</v>
      </c>
      <c r="AA25" s="29">
        <v>0</v>
      </c>
      <c r="AB25" s="29" t="s">
        <v>160</v>
      </c>
      <c r="AC25" s="29" t="s">
        <v>160</v>
      </c>
      <c r="AD25" s="29">
        <v>0</v>
      </c>
      <c r="AE25" s="53">
        <v>0</v>
      </c>
      <c r="AF25" s="53">
        <v>0</v>
      </c>
      <c r="AG25" s="53">
        <v>0</v>
      </c>
      <c r="AH25" s="31">
        <v>0.3</v>
      </c>
      <c r="AI25" s="31">
        <v>0.24</v>
      </c>
      <c r="AJ25" s="29">
        <v>0.18</v>
      </c>
      <c r="AK25" s="29">
        <v>0.15</v>
      </c>
      <c r="AL25" s="62">
        <v>16</v>
      </c>
      <c r="AM25" s="31">
        <v>0</v>
      </c>
      <c r="AN25" s="31">
        <v>1</v>
      </c>
      <c r="AO25" s="31">
        <v>1</v>
      </c>
      <c r="AP25" s="31">
        <v>1</v>
      </c>
      <c r="AQ25" s="30">
        <v>1</v>
      </c>
      <c r="AR25" s="30">
        <v>1</v>
      </c>
      <c r="AS25" s="29">
        <v>0</v>
      </c>
      <c r="AT25" s="29" t="s">
        <v>160</v>
      </c>
      <c r="AU25" s="29" t="s">
        <v>160</v>
      </c>
      <c r="AV25" s="71">
        <v>0</v>
      </c>
      <c r="AW25" s="71">
        <v>0</v>
      </c>
      <c r="AX25" s="71">
        <v>0</v>
      </c>
      <c r="AY25" s="71">
        <v>0</v>
      </c>
      <c r="AZ25" s="19">
        <v>0.97</v>
      </c>
      <c r="BA25" s="65">
        <v>0</v>
      </c>
      <c r="BB25" s="29" t="b">
        <v>0</v>
      </c>
      <c r="BC25" s="29" t="b">
        <v>0</v>
      </c>
      <c r="BD25" s="29" t="s">
        <v>79</v>
      </c>
      <c r="BE25" s="29" t="b">
        <v>1</v>
      </c>
      <c r="BF25" s="29" t="b">
        <v>1</v>
      </c>
      <c r="BG25" s="62" t="b">
        <v>0</v>
      </c>
      <c r="BH25" s="30">
        <v>1</v>
      </c>
      <c r="BI25" s="29" t="b">
        <v>0</v>
      </c>
      <c r="BJ25" s="74">
        <v>6.9200000000000002E-4</v>
      </c>
      <c r="BK25" s="29" t="b">
        <v>0</v>
      </c>
      <c r="BL25" s="29" t="b">
        <v>0</v>
      </c>
      <c r="BM25" s="29">
        <v>50</v>
      </c>
      <c r="BN25" s="29">
        <v>0</v>
      </c>
      <c r="BO25" s="29">
        <v>0</v>
      </c>
      <c r="BP25" s="29">
        <v>0</v>
      </c>
      <c r="BQ25" s="29" t="b">
        <v>0</v>
      </c>
      <c r="BR25" s="29">
        <v>0</v>
      </c>
      <c r="BS25" s="53">
        <v>1</v>
      </c>
      <c r="BT25" s="62" t="b">
        <v>0</v>
      </c>
      <c r="BU25" s="29" t="b">
        <v>0</v>
      </c>
      <c r="BV25" s="29" t="b">
        <v>0</v>
      </c>
      <c r="BW25" s="29" t="s">
        <v>79</v>
      </c>
      <c r="BX25" s="62" t="b">
        <v>0</v>
      </c>
      <c r="BY25" s="62" t="s">
        <v>432</v>
      </c>
    </row>
    <row r="26" spans="1:77" x14ac:dyDescent="0.2">
      <c r="A26" s="18" t="s">
        <v>630</v>
      </c>
      <c r="B26" s="111" t="s">
        <v>1262</v>
      </c>
      <c r="C26" s="17" t="s">
        <v>75</v>
      </c>
      <c r="D26" s="164" t="s">
        <v>28</v>
      </c>
      <c r="E26" s="164" t="s">
        <v>28</v>
      </c>
      <c r="F26" s="63" t="s">
        <v>613</v>
      </c>
      <c r="G26" s="19" t="s">
        <v>376</v>
      </c>
      <c r="H26" s="37" t="s">
        <v>79</v>
      </c>
      <c r="I26" s="29" t="b">
        <v>0</v>
      </c>
      <c r="J26" s="17" t="s">
        <v>79</v>
      </c>
      <c r="K26" s="29" t="b">
        <v>0</v>
      </c>
      <c r="L26" s="70">
        <v>0</v>
      </c>
      <c r="M26" s="19">
        <v>100</v>
      </c>
      <c r="N26" s="19">
        <v>100</v>
      </c>
      <c r="O26" s="29">
        <v>0</v>
      </c>
      <c r="P26" s="29">
        <v>24</v>
      </c>
      <c r="Q26" s="29">
        <v>24</v>
      </c>
      <c r="R26" s="31">
        <v>1</v>
      </c>
      <c r="S26" s="31">
        <v>0</v>
      </c>
      <c r="T26" s="72">
        <v>0</v>
      </c>
      <c r="U26" s="29" t="s">
        <v>160</v>
      </c>
      <c r="V26" s="29" t="s">
        <v>160</v>
      </c>
      <c r="W26" s="75">
        <v>1</v>
      </c>
      <c r="X26" s="29" t="s">
        <v>79</v>
      </c>
      <c r="Y26" s="29">
        <v>16</v>
      </c>
      <c r="Z26" s="29">
        <v>0</v>
      </c>
      <c r="AA26" s="29">
        <v>0</v>
      </c>
      <c r="AB26" s="29" t="s">
        <v>160</v>
      </c>
      <c r="AC26" s="29" t="s">
        <v>160</v>
      </c>
      <c r="AD26" s="29">
        <v>0</v>
      </c>
      <c r="AE26" s="53">
        <v>0</v>
      </c>
      <c r="AF26" s="53">
        <v>0</v>
      </c>
      <c r="AG26" s="53">
        <v>0</v>
      </c>
      <c r="AH26" s="31">
        <v>0.3</v>
      </c>
      <c r="AI26" s="31">
        <v>0.24</v>
      </c>
      <c r="AJ26" s="29">
        <v>0.18</v>
      </c>
      <c r="AK26" s="29">
        <v>0.15</v>
      </c>
      <c r="AL26" s="62">
        <v>16</v>
      </c>
      <c r="AM26" s="31">
        <v>0</v>
      </c>
      <c r="AN26" s="31">
        <v>1</v>
      </c>
      <c r="AO26" s="31">
        <v>1</v>
      </c>
      <c r="AP26" s="31">
        <v>1</v>
      </c>
      <c r="AQ26" s="30">
        <v>1</v>
      </c>
      <c r="AR26" s="30">
        <v>1</v>
      </c>
      <c r="AS26" s="29">
        <v>0</v>
      </c>
      <c r="AT26" s="29" t="s">
        <v>160</v>
      </c>
      <c r="AU26" s="29" t="s">
        <v>160</v>
      </c>
      <c r="AV26" s="71">
        <v>0</v>
      </c>
      <c r="AW26" s="71">
        <v>0</v>
      </c>
      <c r="AX26" s="71">
        <v>0</v>
      </c>
      <c r="AY26" s="71">
        <v>0</v>
      </c>
      <c r="AZ26" s="19">
        <v>0.97</v>
      </c>
      <c r="BA26" s="65">
        <v>0</v>
      </c>
      <c r="BB26" s="29" t="b">
        <v>0</v>
      </c>
      <c r="BC26" s="29" t="b">
        <v>0</v>
      </c>
      <c r="BD26" s="29" t="s">
        <v>79</v>
      </c>
      <c r="BE26" s="29" t="b">
        <v>1</v>
      </c>
      <c r="BF26" s="29" t="b">
        <v>1</v>
      </c>
      <c r="BG26" s="62" t="b">
        <v>0</v>
      </c>
      <c r="BH26" s="30">
        <v>1</v>
      </c>
      <c r="BI26" s="29" t="b">
        <v>0</v>
      </c>
      <c r="BJ26" s="74">
        <v>6.9200000000000002E-4</v>
      </c>
      <c r="BK26" s="29" t="b">
        <v>0</v>
      </c>
      <c r="BL26" s="29" t="b">
        <v>0</v>
      </c>
      <c r="BM26" s="29">
        <v>50</v>
      </c>
      <c r="BN26" s="29">
        <v>0</v>
      </c>
      <c r="BO26" s="29">
        <v>0</v>
      </c>
      <c r="BP26" s="29">
        <v>0</v>
      </c>
      <c r="BQ26" s="29" t="b">
        <v>0</v>
      </c>
      <c r="BR26" s="29">
        <v>0</v>
      </c>
      <c r="BS26" s="53">
        <v>1</v>
      </c>
      <c r="BT26" s="62" t="b">
        <v>0</v>
      </c>
      <c r="BU26" s="29" t="b">
        <v>0</v>
      </c>
      <c r="BV26" s="29" t="b">
        <v>0</v>
      </c>
      <c r="BW26" s="29" t="s">
        <v>79</v>
      </c>
      <c r="BX26" s="62" t="b">
        <v>0</v>
      </c>
      <c r="BY26" s="62" t="s">
        <v>432</v>
      </c>
    </row>
    <row r="27" spans="1:77" ht="16" thickBot="1" x14ac:dyDescent="0.25">
      <c r="A27" s="18" t="s">
        <v>631</v>
      </c>
      <c r="B27" s="112" t="s">
        <v>1263</v>
      </c>
      <c r="C27" s="17" t="s">
        <v>75</v>
      </c>
      <c r="D27" s="164" t="s">
        <v>28</v>
      </c>
      <c r="E27" s="164" t="s">
        <v>28</v>
      </c>
      <c r="F27" s="63" t="s">
        <v>613</v>
      </c>
      <c r="G27" s="19" t="s">
        <v>376</v>
      </c>
      <c r="H27" s="37" t="s">
        <v>79</v>
      </c>
      <c r="I27" s="29" t="b">
        <v>0</v>
      </c>
      <c r="J27" s="17" t="s">
        <v>79</v>
      </c>
      <c r="K27" s="29" t="b">
        <v>0</v>
      </c>
      <c r="L27" s="70">
        <v>0</v>
      </c>
      <c r="M27" s="19">
        <v>100</v>
      </c>
      <c r="N27" s="19">
        <v>100</v>
      </c>
      <c r="O27" s="29">
        <v>0</v>
      </c>
      <c r="P27" s="29">
        <v>100</v>
      </c>
      <c r="Q27" s="29">
        <v>100</v>
      </c>
      <c r="R27" s="31">
        <v>1</v>
      </c>
      <c r="S27" s="31">
        <v>0</v>
      </c>
      <c r="T27" s="72">
        <v>0</v>
      </c>
      <c r="U27" s="29" t="s">
        <v>160</v>
      </c>
      <c r="V27" s="29" t="s">
        <v>160</v>
      </c>
      <c r="W27" s="75">
        <v>1</v>
      </c>
      <c r="X27" s="29" t="s">
        <v>79</v>
      </c>
      <c r="Y27" s="29">
        <v>16</v>
      </c>
      <c r="Z27" s="29">
        <v>0</v>
      </c>
      <c r="AA27" s="29">
        <v>0</v>
      </c>
      <c r="AB27" s="29" t="s">
        <v>160</v>
      </c>
      <c r="AC27" s="29" t="s">
        <v>160</v>
      </c>
      <c r="AD27" s="29">
        <v>0</v>
      </c>
      <c r="AE27" s="53">
        <v>0</v>
      </c>
      <c r="AF27" s="53">
        <v>0</v>
      </c>
      <c r="AG27" s="53">
        <v>0</v>
      </c>
      <c r="AH27" s="31">
        <v>0.3</v>
      </c>
      <c r="AI27" s="31">
        <v>0.24</v>
      </c>
      <c r="AJ27" s="29">
        <v>0.18</v>
      </c>
      <c r="AK27" s="29">
        <v>0.15</v>
      </c>
      <c r="AL27" s="62">
        <v>16</v>
      </c>
      <c r="AM27" s="31">
        <v>0</v>
      </c>
      <c r="AN27" s="31">
        <v>1</v>
      </c>
      <c r="AO27" s="31">
        <v>1</v>
      </c>
      <c r="AP27" s="31">
        <v>1</v>
      </c>
      <c r="AQ27" s="30">
        <v>1</v>
      </c>
      <c r="AR27" s="30">
        <v>1</v>
      </c>
      <c r="AS27" s="29">
        <v>0</v>
      </c>
      <c r="AT27" s="29" t="s">
        <v>160</v>
      </c>
      <c r="AU27" s="29" t="s">
        <v>160</v>
      </c>
      <c r="AV27" s="71">
        <v>0</v>
      </c>
      <c r="AW27" s="71">
        <v>0</v>
      </c>
      <c r="AX27" s="71">
        <v>0</v>
      </c>
      <c r="AY27" s="71">
        <v>0</v>
      </c>
      <c r="AZ27" s="19">
        <v>0.97</v>
      </c>
      <c r="BA27" s="65">
        <v>0</v>
      </c>
      <c r="BB27" s="29" t="b">
        <v>0</v>
      </c>
      <c r="BC27" s="29" t="b">
        <v>0</v>
      </c>
      <c r="BD27" s="29" t="s">
        <v>79</v>
      </c>
      <c r="BE27" s="29" t="b">
        <v>1</v>
      </c>
      <c r="BF27" s="29" t="b">
        <v>1</v>
      </c>
      <c r="BG27" s="62" t="b">
        <v>0</v>
      </c>
      <c r="BH27" s="30">
        <v>1</v>
      </c>
      <c r="BI27" s="29" t="b">
        <v>0</v>
      </c>
      <c r="BJ27" s="74">
        <v>6.9200000000000002E-4</v>
      </c>
      <c r="BK27" s="29" t="b">
        <v>0</v>
      </c>
      <c r="BL27" s="29" t="b">
        <v>0</v>
      </c>
      <c r="BM27" s="29">
        <v>50</v>
      </c>
      <c r="BN27" s="29">
        <v>0</v>
      </c>
      <c r="BO27" s="29">
        <v>0</v>
      </c>
      <c r="BP27" s="29">
        <v>0</v>
      </c>
      <c r="BQ27" s="29" t="b">
        <v>0</v>
      </c>
      <c r="BR27" s="29">
        <v>0</v>
      </c>
      <c r="BS27" s="53">
        <v>1</v>
      </c>
      <c r="BT27" s="62" t="b">
        <v>0</v>
      </c>
      <c r="BU27" s="29" t="b">
        <v>0</v>
      </c>
      <c r="BV27" s="29" t="b">
        <v>0</v>
      </c>
      <c r="BW27" s="29" t="s">
        <v>79</v>
      </c>
      <c r="BX27" s="62" t="b">
        <v>0</v>
      </c>
      <c r="BY27" s="62" t="s">
        <v>432</v>
      </c>
    </row>
    <row r="28" spans="1:77" x14ac:dyDescent="0.2">
      <c r="A28" s="18" t="s">
        <v>632</v>
      </c>
      <c r="B28" s="133" t="s">
        <v>633</v>
      </c>
      <c r="C28" s="17" t="s">
        <v>122</v>
      </c>
      <c r="D28" s="164" t="s">
        <v>612</v>
      </c>
      <c r="E28" s="164" t="s">
        <v>612</v>
      </c>
      <c r="F28" s="63" t="s">
        <v>634</v>
      </c>
      <c r="G28" s="19" t="s">
        <v>376</v>
      </c>
      <c r="H28" s="29" t="b">
        <v>1</v>
      </c>
      <c r="I28" s="37" t="s">
        <v>79</v>
      </c>
      <c r="J28" s="17" t="s">
        <v>79</v>
      </c>
      <c r="K28" s="29" t="b">
        <v>0</v>
      </c>
      <c r="L28" s="70">
        <v>0</v>
      </c>
      <c r="M28" s="19">
        <v>100</v>
      </c>
      <c r="N28" s="29">
        <v>0</v>
      </c>
      <c r="O28" s="29">
        <v>0</v>
      </c>
      <c r="P28" s="29">
        <v>0</v>
      </c>
      <c r="Q28" s="29">
        <v>0</v>
      </c>
      <c r="R28" s="31">
        <v>0.97</v>
      </c>
      <c r="S28" s="31">
        <v>0.33</v>
      </c>
      <c r="T28" s="72">
        <v>0.03</v>
      </c>
      <c r="U28" s="29">
        <v>0</v>
      </c>
      <c r="V28" s="29">
        <v>0</v>
      </c>
      <c r="W28" s="75">
        <v>1</v>
      </c>
      <c r="X28" s="29">
        <v>0</v>
      </c>
      <c r="Y28" s="29">
        <v>0</v>
      </c>
      <c r="Z28" s="29">
        <v>0</v>
      </c>
      <c r="AA28" s="29">
        <v>0</v>
      </c>
      <c r="AB28" s="134">
        <v>204.66720000000001</v>
      </c>
      <c r="AC28" s="134">
        <v>9.6936</v>
      </c>
      <c r="AD28" s="29">
        <v>0</v>
      </c>
      <c r="AE28" s="53">
        <v>0</v>
      </c>
      <c r="AF28" s="53">
        <v>0</v>
      </c>
      <c r="AG28" s="53">
        <v>0</v>
      </c>
      <c r="AH28" s="31">
        <v>0.3</v>
      </c>
      <c r="AI28" s="31">
        <v>0.24</v>
      </c>
      <c r="AJ28" s="29">
        <v>0.18</v>
      </c>
      <c r="AK28" s="29">
        <v>0.15</v>
      </c>
      <c r="AL28" s="62">
        <v>43</v>
      </c>
      <c r="AM28" s="135">
        <v>15</v>
      </c>
      <c r="AN28" s="31">
        <v>7.0000000000000001E-3</v>
      </c>
      <c r="AO28" s="31">
        <v>7.0000000000000007E-2</v>
      </c>
      <c r="AP28" s="31">
        <v>7.0000000000000007E-2</v>
      </c>
      <c r="AQ28" s="31">
        <v>3.5000000000000003E-2</v>
      </c>
      <c r="AR28" s="31">
        <v>7.0000000000000007E-2</v>
      </c>
      <c r="AS28" s="130">
        <v>118.17</v>
      </c>
      <c r="AT28" s="29">
        <v>0</v>
      </c>
      <c r="AU28" s="29">
        <v>0</v>
      </c>
      <c r="AV28" s="71">
        <v>1.7725500000000001</v>
      </c>
      <c r="AW28" s="71">
        <v>0</v>
      </c>
      <c r="AX28" s="71">
        <v>0</v>
      </c>
      <c r="AY28" s="71">
        <v>0</v>
      </c>
      <c r="AZ28" s="19">
        <v>0.87</v>
      </c>
      <c r="BA28" s="65">
        <v>2.94</v>
      </c>
      <c r="BB28" s="29" t="b">
        <v>0</v>
      </c>
      <c r="BC28" s="29" t="b">
        <v>0</v>
      </c>
      <c r="BD28" s="29" t="s">
        <v>79</v>
      </c>
      <c r="BE28" s="29" t="b">
        <v>1</v>
      </c>
      <c r="BF28" s="29" t="b">
        <v>0</v>
      </c>
      <c r="BG28" s="62" t="b">
        <v>0</v>
      </c>
      <c r="BH28" s="30">
        <v>0.97</v>
      </c>
      <c r="BI28" s="29" t="b">
        <v>0</v>
      </c>
      <c r="BJ28" s="74">
        <v>6.9200000000000002E-4</v>
      </c>
      <c r="BK28" s="29" t="b">
        <v>0</v>
      </c>
      <c r="BL28" s="29" t="b">
        <v>0</v>
      </c>
      <c r="BM28" s="29">
        <v>0</v>
      </c>
      <c r="BN28" s="29">
        <v>0</v>
      </c>
      <c r="BO28" s="29">
        <v>0</v>
      </c>
      <c r="BP28" s="29">
        <v>0</v>
      </c>
      <c r="BQ28" s="29" t="b">
        <v>0</v>
      </c>
      <c r="BR28" s="29">
        <v>0</v>
      </c>
      <c r="BS28" s="53">
        <v>0</v>
      </c>
      <c r="BT28" s="62" t="b">
        <v>0</v>
      </c>
      <c r="BU28" s="29" t="b">
        <v>0</v>
      </c>
      <c r="BV28" s="29" t="b">
        <v>0</v>
      </c>
      <c r="BW28" s="29" t="s">
        <v>79</v>
      </c>
      <c r="BX28" s="62" t="b">
        <v>0</v>
      </c>
      <c r="BY28" s="62" t="s">
        <v>431</v>
      </c>
    </row>
    <row r="29" spans="1:77" x14ac:dyDescent="0.2">
      <c r="A29" s="18" t="s">
        <v>635</v>
      </c>
      <c r="B29" s="133" t="s">
        <v>636</v>
      </c>
      <c r="C29" s="17" t="s">
        <v>122</v>
      </c>
      <c r="D29" s="164" t="s">
        <v>612</v>
      </c>
      <c r="E29" s="164" t="s">
        <v>612</v>
      </c>
      <c r="F29" s="63" t="s">
        <v>637</v>
      </c>
      <c r="G29" s="19" t="s">
        <v>376</v>
      </c>
      <c r="H29" s="29" t="b">
        <v>0</v>
      </c>
      <c r="I29" s="37" t="s">
        <v>79</v>
      </c>
      <c r="J29" s="17" t="s">
        <v>79</v>
      </c>
      <c r="K29" s="29" t="b">
        <v>0</v>
      </c>
      <c r="L29" s="70">
        <v>0</v>
      </c>
      <c r="M29" s="19">
        <v>100</v>
      </c>
      <c r="N29" s="29">
        <v>0</v>
      </c>
      <c r="O29" s="29">
        <v>0</v>
      </c>
      <c r="P29" s="29">
        <v>0</v>
      </c>
      <c r="Q29" s="29">
        <v>0</v>
      </c>
      <c r="R29" s="31">
        <v>0.96799999999999997</v>
      </c>
      <c r="S29" s="31">
        <v>0.45</v>
      </c>
      <c r="T29" s="72">
        <v>3.2000000000000001E-2</v>
      </c>
      <c r="U29" s="29">
        <v>0</v>
      </c>
      <c r="V29" s="29">
        <v>0</v>
      </c>
      <c r="W29" s="75">
        <v>1</v>
      </c>
      <c r="X29" s="29">
        <v>0</v>
      </c>
      <c r="Y29" s="29">
        <v>0</v>
      </c>
      <c r="Z29" s="29">
        <v>0</v>
      </c>
      <c r="AA29" s="29">
        <v>0</v>
      </c>
      <c r="AB29" s="134">
        <v>22.432400000000001</v>
      </c>
      <c r="AC29" s="134">
        <v>3.8485</v>
      </c>
      <c r="AD29" s="29">
        <v>0</v>
      </c>
      <c r="AE29" s="53">
        <v>3.5424000000000002</v>
      </c>
      <c r="AF29" s="53">
        <v>139.29750000000001</v>
      </c>
      <c r="AG29" s="53">
        <v>139.29750000000001</v>
      </c>
      <c r="AH29" s="31">
        <v>0.3</v>
      </c>
      <c r="AI29" s="31">
        <v>0.24</v>
      </c>
      <c r="AJ29" s="29">
        <v>0.18</v>
      </c>
      <c r="AK29" s="29">
        <v>0.15</v>
      </c>
      <c r="AL29" s="62">
        <v>50</v>
      </c>
      <c r="AM29" s="135">
        <v>16</v>
      </c>
      <c r="AN29" s="31">
        <v>0.08</v>
      </c>
      <c r="AO29" s="31">
        <v>0.8</v>
      </c>
      <c r="AP29" s="31">
        <v>0.8</v>
      </c>
      <c r="AQ29" s="31">
        <v>0.4</v>
      </c>
      <c r="AR29" s="31">
        <v>0.8</v>
      </c>
      <c r="AS29" s="130">
        <v>274.32</v>
      </c>
      <c r="AT29" s="29">
        <v>0</v>
      </c>
      <c r="AU29" s="29">
        <v>0</v>
      </c>
      <c r="AV29" s="71">
        <v>4.3891200000000001</v>
      </c>
      <c r="AW29" s="71">
        <v>0</v>
      </c>
      <c r="AX29" s="71">
        <v>0</v>
      </c>
      <c r="AY29" s="71">
        <v>0</v>
      </c>
      <c r="AZ29" s="19">
        <v>0.87</v>
      </c>
      <c r="BA29" s="65">
        <v>5.29</v>
      </c>
      <c r="BB29" s="29" t="b">
        <v>0</v>
      </c>
      <c r="BC29" s="29" t="b">
        <v>0</v>
      </c>
      <c r="BD29" s="29" t="s">
        <v>79</v>
      </c>
      <c r="BE29" s="29" t="b">
        <v>0</v>
      </c>
      <c r="BF29" s="29" t="b">
        <v>0</v>
      </c>
      <c r="BG29" s="62" t="b">
        <v>0</v>
      </c>
      <c r="BH29" s="30">
        <v>0.96799999999999997</v>
      </c>
      <c r="BI29" s="29" t="b">
        <v>0</v>
      </c>
      <c r="BJ29" s="62" t="s">
        <v>392</v>
      </c>
      <c r="BK29" s="29" t="b">
        <v>0</v>
      </c>
      <c r="BL29" s="29" t="b">
        <v>0</v>
      </c>
      <c r="BM29" s="29">
        <v>0</v>
      </c>
      <c r="BN29" s="29">
        <v>0</v>
      </c>
      <c r="BO29" s="29">
        <v>0</v>
      </c>
      <c r="BP29" s="29">
        <v>0</v>
      </c>
      <c r="BQ29" s="29" t="b">
        <v>0</v>
      </c>
      <c r="BR29" s="29">
        <v>0</v>
      </c>
      <c r="BS29" s="53">
        <v>0</v>
      </c>
      <c r="BT29" s="62" t="b">
        <v>0</v>
      </c>
      <c r="BU29" s="29" t="b">
        <v>0</v>
      </c>
      <c r="BV29" s="29" t="b">
        <v>0</v>
      </c>
      <c r="BW29" s="29" t="s">
        <v>79</v>
      </c>
      <c r="BX29" s="62" t="b">
        <v>0</v>
      </c>
      <c r="BY29" s="62" t="s">
        <v>431</v>
      </c>
    </row>
    <row r="30" spans="1:77" x14ac:dyDescent="0.2">
      <c r="A30" s="18" t="s">
        <v>638</v>
      </c>
      <c r="B30" s="133" t="s">
        <v>639</v>
      </c>
      <c r="C30" s="17" t="s">
        <v>122</v>
      </c>
      <c r="D30" s="164" t="s">
        <v>24</v>
      </c>
      <c r="E30" s="164" t="s">
        <v>24</v>
      </c>
      <c r="F30" s="63" t="s">
        <v>640</v>
      </c>
      <c r="G30" s="19" t="s">
        <v>376</v>
      </c>
      <c r="H30" s="29" t="b">
        <v>1</v>
      </c>
      <c r="I30" s="37" t="s">
        <v>79</v>
      </c>
      <c r="J30" s="17" t="s">
        <v>79</v>
      </c>
      <c r="K30" s="29" t="b">
        <v>0</v>
      </c>
      <c r="L30" s="70">
        <v>0</v>
      </c>
      <c r="M30" s="19">
        <v>600</v>
      </c>
      <c r="N30" s="29">
        <v>0</v>
      </c>
      <c r="O30" s="29">
        <v>0</v>
      </c>
      <c r="P30" s="29">
        <v>0</v>
      </c>
      <c r="Q30" s="29">
        <v>0</v>
      </c>
      <c r="R30" s="31">
        <v>0.96099999999999997</v>
      </c>
      <c r="S30" s="31">
        <v>0.33</v>
      </c>
      <c r="T30" s="72">
        <v>3.9E-2</v>
      </c>
      <c r="U30" s="29">
        <v>0</v>
      </c>
      <c r="V30" s="29">
        <v>0</v>
      </c>
      <c r="W30" s="75">
        <v>1</v>
      </c>
      <c r="X30" s="29">
        <v>0</v>
      </c>
      <c r="Y30" s="29">
        <v>0</v>
      </c>
      <c r="Z30" s="29">
        <v>0</v>
      </c>
      <c r="AA30" s="29">
        <v>0</v>
      </c>
      <c r="AB30" s="134">
        <v>60.9602</v>
      </c>
      <c r="AC30" s="134">
        <v>8.9526000000000003</v>
      </c>
      <c r="AD30" s="29" t="s">
        <v>568</v>
      </c>
      <c r="AE30" s="53">
        <v>1.8564000000000001</v>
      </c>
      <c r="AF30" s="53">
        <v>56.929600000000001</v>
      </c>
      <c r="AG30" s="53">
        <v>56.929600000000001</v>
      </c>
      <c r="AH30" s="31">
        <v>0.3</v>
      </c>
      <c r="AI30" s="31">
        <v>0.24</v>
      </c>
      <c r="AJ30" s="29">
        <v>0.18</v>
      </c>
      <c r="AK30" s="29">
        <v>0.15</v>
      </c>
      <c r="AL30" s="62">
        <v>55</v>
      </c>
      <c r="AM30" s="135">
        <v>9</v>
      </c>
      <c r="AN30" s="31">
        <v>7.0000000000000001E-3</v>
      </c>
      <c r="AO30" s="31">
        <v>7.0000000000000007E-2</v>
      </c>
      <c r="AP30" s="31">
        <v>7.0000000000000007E-2</v>
      </c>
      <c r="AQ30" s="31">
        <v>3.5000000000000003E-2</v>
      </c>
      <c r="AR30" s="31">
        <v>7.0000000000000007E-2</v>
      </c>
      <c r="AS30" s="130">
        <v>93.28</v>
      </c>
      <c r="AT30" s="29">
        <v>0</v>
      </c>
      <c r="AU30" s="29">
        <v>0</v>
      </c>
      <c r="AV30" s="71">
        <v>0.83951999999999993</v>
      </c>
      <c r="AW30" s="71">
        <v>0</v>
      </c>
      <c r="AX30" s="71">
        <v>0</v>
      </c>
      <c r="AY30" s="71">
        <v>0</v>
      </c>
      <c r="AZ30" s="19">
        <v>0.87</v>
      </c>
      <c r="BA30" s="65">
        <v>2.63</v>
      </c>
      <c r="BB30" s="29" t="b">
        <v>0</v>
      </c>
      <c r="BC30" s="29" t="b">
        <v>0</v>
      </c>
      <c r="BD30" s="29" t="s">
        <v>79</v>
      </c>
      <c r="BE30" s="29" t="b">
        <v>0</v>
      </c>
      <c r="BF30" s="29" t="b">
        <v>0</v>
      </c>
      <c r="BG30" s="62" t="b">
        <v>0</v>
      </c>
      <c r="BH30" s="30">
        <v>0.96099999999999997</v>
      </c>
      <c r="BI30" s="29" t="b">
        <v>0</v>
      </c>
      <c r="BJ30" s="62" t="s">
        <v>391</v>
      </c>
      <c r="BK30" s="29" t="b">
        <v>0</v>
      </c>
      <c r="BL30" s="29" t="b">
        <v>0</v>
      </c>
      <c r="BM30" s="29">
        <v>0</v>
      </c>
      <c r="BN30" s="29">
        <v>0</v>
      </c>
      <c r="BO30" s="29">
        <v>0</v>
      </c>
      <c r="BP30" s="29">
        <v>0</v>
      </c>
      <c r="BQ30" s="29" t="b">
        <v>0</v>
      </c>
      <c r="BR30" s="29">
        <v>0</v>
      </c>
      <c r="BS30" s="53">
        <v>0</v>
      </c>
      <c r="BT30" s="62" t="b">
        <v>0</v>
      </c>
      <c r="BU30" s="29" t="b">
        <v>0</v>
      </c>
      <c r="BV30" s="29" t="b">
        <v>0</v>
      </c>
      <c r="BW30" s="29" t="s">
        <v>79</v>
      </c>
      <c r="BX30" s="62" t="b">
        <v>0</v>
      </c>
      <c r="BY30" s="62" t="s">
        <v>431</v>
      </c>
    </row>
    <row r="31" spans="1:77" x14ac:dyDescent="0.2">
      <c r="A31" s="18" t="s">
        <v>641</v>
      </c>
      <c r="B31" s="133" t="s">
        <v>642</v>
      </c>
      <c r="C31" s="17" t="s">
        <v>122</v>
      </c>
      <c r="D31" s="164" t="s">
        <v>24</v>
      </c>
      <c r="E31" s="164" t="s">
        <v>24</v>
      </c>
      <c r="F31" s="63" t="s">
        <v>640</v>
      </c>
      <c r="G31" s="19" t="s">
        <v>376</v>
      </c>
      <c r="H31" s="29" t="b">
        <v>1</v>
      </c>
      <c r="I31" s="37" t="s">
        <v>79</v>
      </c>
      <c r="J31" s="17" t="s">
        <v>79</v>
      </c>
      <c r="K31" s="29" t="b">
        <v>0</v>
      </c>
      <c r="L31" s="70">
        <v>0</v>
      </c>
      <c r="M31" s="19">
        <v>600</v>
      </c>
      <c r="N31" s="29">
        <v>0</v>
      </c>
      <c r="O31" s="29">
        <v>0</v>
      </c>
      <c r="P31" s="29">
        <v>0</v>
      </c>
      <c r="Q31" s="29">
        <v>0</v>
      </c>
      <c r="R31" s="31">
        <v>0.96099999999999997</v>
      </c>
      <c r="S31" s="31">
        <v>0.33</v>
      </c>
      <c r="T31" s="72">
        <v>3.9E-2</v>
      </c>
      <c r="U31" s="29">
        <v>0</v>
      </c>
      <c r="V31" s="29">
        <v>0</v>
      </c>
      <c r="W31" s="75">
        <v>1</v>
      </c>
      <c r="X31" s="29">
        <v>0</v>
      </c>
      <c r="Y31" s="29">
        <v>0</v>
      </c>
      <c r="Z31" s="29">
        <v>0</v>
      </c>
      <c r="AA31" s="29">
        <v>0</v>
      </c>
      <c r="AB31" s="134">
        <v>41.573799999999999</v>
      </c>
      <c r="AC31" s="134">
        <v>5.7309000000000001</v>
      </c>
      <c r="AD31" s="29" t="s">
        <v>568</v>
      </c>
      <c r="AE31" s="53">
        <v>1.8564000000000001</v>
      </c>
      <c r="AF31" s="53">
        <v>56.929600000000001</v>
      </c>
      <c r="AG31" s="53">
        <v>56.929600000000001</v>
      </c>
      <c r="AH31" s="31">
        <v>0.3</v>
      </c>
      <c r="AI31" s="31">
        <v>0.24</v>
      </c>
      <c r="AJ31" s="29">
        <v>0.18</v>
      </c>
      <c r="AK31" s="29">
        <v>0.15</v>
      </c>
      <c r="AL31" s="62">
        <v>55</v>
      </c>
      <c r="AM31" s="135">
        <v>10</v>
      </c>
      <c r="AN31" s="31">
        <v>7.0000000000000001E-3</v>
      </c>
      <c r="AO31" s="31">
        <v>7.0000000000000007E-2</v>
      </c>
      <c r="AP31" s="31">
        <v>7.0000000000000007E-2</v>
      </c>
      <c r="AQ31" s="31">
        <v>3.5000000000000003E-2</v>
      </c>
      <c r="AR31" s="31">
        <v>7.0000000000000007E-2</v>
      </c>
      <c r="AS31" s="130">
        <v>93.28</v>
      </c>
      <c r="AT31" s="29">
        <v>0</v>
      </c>
      <c r="AU31" s="29">
        <v>0</v>
      </c>
      <c r="AV31" s="71">
        <v>0.93279999999999996</v>
      </c>
      <c r="AW31" s="71">
        <v>0</v>
      </c>
      <c r="AX31" s="71">
        <v>0</v>
      </c>
      <c r="AY31" s="71">
        <v>0</v>
      </c>
      <c r="AZ31" s="19">
        <v>0.87</v>
      </c>
      <c r="BA31" s="65">
        <v>2.63</v>
      </c>
      <c r="BB31" s="29" t="b">
        <v>0</v>
      </c>
      <c r="BC31" s="29" t="b">
        <v>0</v>
      </c>
      <c r="BD31" s="29" t="s">
        <v>79</v>
      </c>
      <c r="BE31" s="29" t="b">
        <v>0</v>
      </c>
      <c r="BF31" s="29" t="b">
        <v>0</v>
      </c>
      <c r="BG31" s="62" t="b">
        <v>0</v>
      </c>
      <c r="BH31" s="30">
        <v>0.96099999999999997</v>
      </c>
      <c r="BI31" s="29" t="b">
        <v>0</v>
      </c>
      <c r="BJ31" s="62" t="s">
        <v>391</v>
      </c>
      <c r="BK31" s="29" t="b">
        <v>0</v>
      </c>
      <c r="BL31" s="29" t="b">
        <v>0</v>
      </c>
      <c r="BM31" s="29">
        <v>0</v>
      </c>
      <c r="BN31" s="29">
        <v>0</v>
      </c>
      <c r="BO31" s="29">
        <v>0</v>
      </c>
      <c r="BP31" s="29">
        <v>0</v>
      </c>
      <c r="BQ31" s="29" t="b">
        <v>0</v>
      </c>
      <c r="BR31" s="29">
        <v>0</v>
      </c>
      <c r="BS31" s="53">
        <v>0</v>
      </c>
      <c r="BT31" s="62" t="b">
        <v>0</v>
      </c>
      <c r="BU31" s="29" t="b">
        <v>0</v>
      </c>
      <c r="BV31" s="29" t="b">
        <v>0</v>
      </c>
      <c r="BW31" s="29" t="s">
        <v>79</v>
      </c>
      <c r="BX31" s="62" t="b">
        <v>0</v>
      </c>
      <c r="BY31" s="62" t="s">
        <v>431</v>
      </c>
    </row>
    <row r="32" spans="1:77" x14ac:dyDescent="0.2">
      <c r="A32" s="18" t="s">
        <v>643</v>
      </c>
      <c r="B32" s="133" t="s">
        <v>644</v>
      </c>
      <c r="C32" s="17" t="s">
        <v>122</v>
      </c>
      <c r="D32" s="164" t="s">
        <v>24</v>
      </c>
      <c r="E32" s="164" t="s">
        <v>24</v>
      </c>
      <c r="F32" s="63" t="s">
        <v>640</v>
      </c>
      <c r="G32" s="19" t="s">
        <v>376</v>
      </c>
      <c r="H32" s="29" t="b">
        <v>1</v>
      </c>
      <c r="I32" s="37" t="s">
        <v>79</v>
      </c>
      <c r="J32" s="17" t="s">
        <v>79</v>
      </c>
      <c r="K32" s="29" t="b">
        <v>0</v>
      </c>
      <c r="L32" s="70">
        <v>0</v>
      </c>
      <c r="M32" s="19">
        <v>600</v>
      </c>
      <c r="N32" s="29">
        <v>0</v>
      </c>
      <c r="O32" s="29">
        <v>0</v>
      </c>
      <c r="P32" s="29">
        <v>0</v>
      </c>
      <c r="Q32" s="29">
        <v>0</v>
      </c>
      <c r="R32" s="31">
        <v>0.96099999999999997</v>
      </c>
      <c r="S32" s="31">
        <v>0.33</v>
      </c>
      <c r="T32" s="72">
        <v>3.9E-2</v>
      </c>
      <c r="U32" s="29">
        <v>0</v>
      </c>
      <c r="V32" s="29">
        <v>0</v>
      </c>
      <c r="W32" s="75">
        <v>1</v>
      </c>
      <c r="X32" s="29">
        <v>0</v>
      </c>
      <c r="Y32" s="29">
        <v>0</v>
      </c>
      <c r="Z32" s="29">
        <v>0</v>
      </c>
      <c r="AA32" s="29">
        <v>0</v>
      </c>
      <c r="AB32" s="134">
        <v>46.5227</v>
      </c>
      <c r="AC32" s="134">
        <v>6.7142999999999997</v>
      </c>
      <c r="AD32" s="29" t="s">
        <v>568</v>
      </c>
      <c r="AE32" s="53">
        <v>1.8564000000000001</v>
      </c>
      <c r="AF32" s="53">
        <v>56.929600000000001</v>
      </c>
      <c r="AG32" s="53">
        <v>56.929600000000001</v>
      </c>
      <c r="AH32" s="31">
        <v>0.3</v>
      </c>
      <c r="AI32" s="31">
        <v>0.24</v>
      </c>
      <c r="AJ32" s="29">
        <v>0.18</v>
      </c>
      <c r="AK32" s="29">
        <v>0.15</v>
      </c>
      <c r="AL32" s="62">
        <v>55</v>
      </c>
      <c r="AM32" s="135">
        <v>11</v>
      </c>
      <c r="AN32" s="31">
        <v>7.0000000000000001E-3</v>
      </c>
      <c r="AO32" s="31">
        <v>7.0000000000000007E-2</v>
      </c>
      <c r="AP32" s="31">
        <v>7.0000000000000007E-2</v>
      </c>
      <c r="AQ32" s="31">
        <v>3.5000000000000003E-2</v>
      </c>
      <c r="AR32" s="31">
        <v>7.0000000000000007E-2</v>
      </c>
      <c r="AS32" s="130">
        <v>93.28</v>
      </c>
      <c r="AT32" s="29">
        <v>0</v>
      </c>
      <c r="AU32" s="29">
        <v>0</v>
      </c>
      <c r="AV32" s="71">
        <v>1.0260800000000001</v>
      </c>
      <c r="AW32" s="71">
        <v>0</v>
      </c>
      <c r="AX32" s="71">
        <v>0</v>
      </c>
      <c r="AY32" s="71">
        <v>0</v>
      </c>
      <c r="AZ32" s="19">
        <v>0.87</v>
      </c>
      <c r="BA32" s="65">
        <v>2.63</v>
      </c>
      <c r="BB32" s="29" t="b">
        <v>0</v>
      </c>
      <c r="BC32" s="29" t="b">
        <v>0</v>
      </c>
      <c r="BD32" s="29" t="s">
        <v>79</v>
      </c>
      <c r="BE32" s="29" t="b">
        <v>0</v>
      </c>
      <c r="BF32" s="29" t="b">
        <v>0</v>
      </c>
      <c r="BG32" s="62" t="b">
        <v>0</v>
      </c>
      <c r="BH32" s="30">
        <v>0.96099999999999997</v>
      </c>
      <c r="BI32" s="29" t="b">
        <v>0</v>
      </c>
      <c r="BJ32" s="62" t="s">
        <v>391</v>
      </c>
      <c r="BK32" s="29" t="b">
        <v>0</v>
      </c>
      <c r="BL32" s="29" t="b">
        <v>0</v>
      </c>
      <c r="BM32" s="29">
        <v>0</v>
      </c>
      <c r="BN32" s="29">
        <v>0</v>
      </c>
      <c r="BO32" s="29">
        <v>0</v>
      </c>
      <c r="BP32" s="29">
        <v>0</v>
      </c>
      <c r="BQ32" s="29" t="b">
        <v>0</v>
      </c>
      <c r="BR32" s="29">
        <v>0</v>
      </c>
      <c r="BS32" s="53">
        <v>0</v>
      </c>
      <c r="BT32" s="62" t="b">
        <v>0</v>
      </c>
      <c r="BU32" s="29" t="b">
        <v>0</v>
      </c>
      <c r="BV32" s="29" t="b">
        <v>0</v>
      </c>
      <c r="BW32" s="29" t="s">
        <v>79</v>
      </c>
      <c r="BX32" s="62" t="b">
        <v>0</v>
      </c>
      <c r="BY32" s="62" t="s">
        <v>431</v>
      </c>
    </row>
    <row r="33" spans="1:77" x14ac:dyDescent="0.2">
      <c r="A33" s="18" t="s">
        <v>645</v>
      </c>
      <c r="B33" s="133" t="s">
        <v>646</v>
      </c>
      <c r="C33" s="17" t="s">
        <v>122</v>
      </c>
      <c r="D33" s="164" t="s">
        <v>24</v>
      </c>
      <c r="E33" s="164" t="s">
        <v>24</v>
      </c>
      <c r="F33" s="63" t="s">
        <v>640</v>
      </c>
      <c r="G33" s="19" t="s">
        <v>376</v>
      </c>
      <c r="H33" s="29" t="b">
        <v>1</v>
      </c>
      <c r="I33" s="37" t="s">
        <v>79</v>
      </c>
      <c r="J33" s="17" t="s">
        <v>79</v>
      </c>
      <c r="K33" s="29" t="b">
        <v>0</v>
      </c>
      <c r="L33" s="70">
        <v>0</v>
      </c>
      <c r="M33" s="19">
        <v>600</v>
      </c>
      <c r="N33" s="29">
        <v>0</v>
      </c>
      <c r="O33" s="29">
        <v>0</v>
      </c>
      <c r="P33" s="29">
        <v>0</v>
      </c>
      <c r="Q33" s="29">
        <v>0</v>
      </c>
      <c r="R33" s="31">
        <v>0.96099999999999997</v>
      </c>
      <c r="S33" s="31">
        <v>0.33</v>
      </c>
      <c r="T33" s="72">
        <v>3.9E-2</v>
      </c>
      <c r="U33" s="29">
        <v>0</v>
      </c>
      <c r="V33" s="29">
        <v>0</v>
      </c>
      <c r="W33" s="75">
        <v>1</v>
      </c>
      <c r="X33" s="29">
        <v>0</v>
      </c>
      <c r="Y33" s="29">
        <v>0</v>
      </c>
      <c r="Z33" s="29">
        <v>0</v>
      </c>
      <c r="AA33" s="29">
        <v>0</v>
      </c>
      <c r="AB33" s="134">
        <v>42.057299999999998</v>
      </c>
      <c r="AC33" s="134">
        <v>6.6032999999999999</v>
      </c>
      <c r="AD33" s="29" t="s">
        <v>568</v>
      </c>
      <c r="AE33" s="53">
        <v>1.8564000000000001</v>
      </c>
      <c r="AF33" s="53">
        <v>56.929600000000001</v>
      </c>
      <c r="AG33" s="53">
        <v>56.929600000000001</v>
      </c>
      <c r="AH33" s="31">
        <v>0.3</v>
      </c>
      <c r="AI33" s="31">
        <v>0.24</v>
      </c>
      <c r="AJ33" s="29">
        <v>0.18</v>
      </c>
      <c r="AK33" s="29">
        <v>0.15</v>
      </c>
      <c r="AL33" s="62">
        <v>55</v>
      </c>
      <c r="AM33" s="135">
        <v>12</v>
      </c>
      <c r="AN33" s="31">
        <v>7.0000000000000001E-3</v>
      </c>
      <c r="AO33" s="31">
        <v>7.0000000000000007E-2</v>
      </c>
      <c r="AP33" s="31">
        <v>7.0000000000000007E-2</v>
      </c>
      <c r="AQ33" s="31">
        <v>3.5000000000000003E-2</v>
      </c>
      <c r="AR33" s="31">
        <v>7.0000000000000007E-2</v>
      </c>
      <c r="AS33" s="130">
        <v>93.28</v>
      </c>
      <c r="AT33" s="29">
        <v>0</v>
      </c>
      <c r="AU33" s="29">
        <v>0</v>
      </c>
      <c r="AV33" s="71">
        <v>1.1193599999999999</v>
      </c>
      <c r="AW33" s="71">
        <v>0</v>
      </c>
      <c r="AX33" s="71">
        <v>0</v>
      </c>
      <c r="AY33" s="71">
        <v>0</v>
      </c>
      <c r="AZ33" s="19">
        <v>0.87</v>
      </c>
      <c r="BA33" s="65">
        <v>2.63</v>
      </c>
      <c r="BB33" s="29" t="b">
        <v>0</v>
      </c>
      <c r="BC33" s="29" t="b">
        <v>0</v>
      </c>
      <c r="BD33" s="29" t="s">
        <v>79</v>
      </c>
      <c r="BE33" s="29" t="b">
        <v>0</v>
      </c>
      <c r="BF33" s="29" t="b">
        <v>0</v>
      </c>
      <c r="BG33" s="62" t="b">
        <v>0</v>
      </c>
      <c r="BH33" s="30">
        <v>0.96099999999999997</v>
      </c>
      <c r="BI33" s="29" t="b">
        <v>0</v>
      </c>
      <c r="BJ33" s="62" t="s">
        <v>391</v>
      </c>
      <c r="BK33" s="29" t="b">
        <v>0</v>
      </c>
      <c r="BL33" s="29" t="b">
        <v>0</v>
      </c>
      <c r="BM33" s="29">
        <v>0</v>
      </c>
      <c r="BN33" s="29">
        <v>0</v>
      </c>
      <c r="BO33" s="29">
        <v>0</v>
      </c>
      <c r="BP33" s="29">
        <v>0</v>
      </c>
      <c r="BQ33" s="29" t="b">
        <v>0</v>
      </c>
      <c r="BR33" s="29">
        <v>0</v>
      </c>
      <c r="BS33" s="53">
        <v>0</v>
      </c>
      <c r="BT33" s="62" t="b">
        <v>0</v>
      </c>
      <c r="BU33" s="29" t="b">
        <v>0</v>
      </c>
      <c r="BV33" s="29" t="b">
        <v>0</v>
      </c>
      <c r="BW33" s="29" t="s">
        <v>79</v>
      </c>
      <c r="BX33" s="62" t="b">
        <v>0</v>
      </c>
      <c r="BY33" s="62" t="s">
        <v>431</v>
      </c>
    </row>
    <row r="34" spans="1:77" x14ac:dyDescent="0.2">
      <c r="A34" s="18" t="s">
        <v>647</v>
      </c>
      <c r="B34" s="133" t="s">
        <v>648</v>
      </c>
      <c r="C34" s="17" t="s">
        <v>122</v>
      </c>
      <c r="D34" s="164" t="s">
        <v>24</v>
      </c>
      <c r="E34" s="164" t="s">
        <v>24</v>
      </c>
      <c r="F34" s="63" t="s">
        <v>640</v>
      </c>
      <c r="G34" s="19" t="s">
        <v>376</v>
      </c>
      <c r="H34" s="29" t="b">
        <v>1</v>
      </c>
      <c r="I34" s="37" t="s">
        <v>79</v>
      </c>
      <c r="J34" s="17" t="s">
        <v>79</v>
      </c>
      <c r="K34" s="29" t="b">
        <v>0</v>
      </c>
      <c r="L34" s="70">
        <v>0</v>
      </c>
      <c r="M34" s="19">
        <v>600</v>
      </c>
      <c r="N34" s="29">
        <v>0</v>
      </c>
      <c r="O34" s="29">
        <v>0</v>
      </c>
      <c r="P34" s="29">
        <v>0</v>
      </c>
      <c r="Q34" s="29">
        <v>0</v>
      </c>
      <c r="R34" s="31">
        <v>0.96099999999999997</v>
      </c>
      <c r="S34" s="31">
        <v>0.33</v>
      </c>
      <c r="T34" s="72">
        <v>3.9E-2</v>
      </c>
      <c r="U34" s="29">
        <v>0</v>
      </c>
      <c r="V34" s="29">
        <v>0</v>
      </c>
      <c r="W34" s="75">
        <v>1</v>
      </c>
      <c r="X34" s="29">
        <v>0</v>
      </c>
      <c r="Y34" s="29">
        <v>0</v>
      </c>
      <c r="Z34" s="29">
        <v>0</v>
      </c>
      <c r="AA34" s="29">
        <v>0</v>
      </c>
      <c r="AB34" s="134">
        <v>32.131399999999999</v>
      </c>
      <c r="AC34" s="134">
        <v>4.7411000000000003</v>
      </c>
      <c r="AD34" s="29" t="s">
        <v>568</v>
      </c>
      <c r="AE34" s="53">
        <v>1.8564000000000001</v>
      </c>
      <c r="AF34" s="53">
        <v>56.929600000000001</v>
      </c>
      <c r="AG34" s="53">
        <v>56.929600000000001</v>
      </c>
      <c r="AH34" s="31">
        <v>0.3</v>
      </c>
      <c r="AI34" s="31">
        <v>0.24</v>
      </c>
      <c r="AJ34" s="29">
        <v>0.18</v>
      </c>
      <c r="AK34" s="29">
        <v>0.15</v>
      </c>
      <c r="AL34" s="62">
        <v>55</v>
      </c>
      <c r="AM34" s="135">
        <v>13</v>
      </c>
      <c r="AN34" s="31">
        <v>7.0000000000000001E-3</v>
      </c>
      <c r="AO34" s="31">
        <v>7.0000000000000007E-2</v>
      </c>
      <c r="AP34" s="31">
        <v>7.0000000000000007E-2</v>
      </c>
      <c r="AQ34" s="31">
        <v>3.5000000000000003E-2</v>
      </c>
      <c r="AR34" s="31">
        <v>7.0000000000000007E-2</v>
      </c>
      <c r="AS34" s="130">
        <v>93.28</v>
      </c>
      <c r="AT34" s="29">
        <v>0</v>
      </c>
      <c r="AU34" s="29">
        <v>0</v>
      </c>
      <c r="AV34" s="71">
        <v>1.2126399999999999</v>
      </c>
      <c r="AW34" s="71">
        <v>0</v>
      </c>
      <c r="AX34" s="71">
        <v>0</v>
      </c>
      <c r="AY34" s="71">
        <v>0</v>
      </c>
      <c r="AZ34" s="19">
        <v>0.87</v>
      </c>
      <c r="BA34" s="65">
        <v>2.63</v>
      </c>
      <c r="BB34" s="29" t="b">
        <v>0</v>
      </c>
      <c r="BC34" s="29" t="b">
        <v>0</v>
      </c>
      <c r="BD34" s="29" t="s">
        <v>79</v>
      </c>
      <c r="BE34" s="29" t="b">
        <v>0</v>
      </c>
      <c r="BF34" s="29" t="b">
        <v>0</v>
      </c>
      <c r="BG34" s="62" t="b">
        <v>0</v>
      </c>
      <c r="BH34" s="30">
        <v>0.96099999999999997</v>
      </c>
      <c r="BI34" s="29" t="b">
        <v>0</v>
      </c>
      <c r="BJ34" s="62" t="s">
        <v>391</v>
      </c>
      <c r="BK34" s="29" t="b">
        <v>0</v>
      </c>
      <c r="BL34" s="29" t="b">
        <v>0</v>
      </c>
      <c r="BM34" s="29">
        <v>0</v>
      </c>
      <c r="BN34" s="29">
        <v>0</v>
      </c>
      <c r="BO34" s="29">
        <v>0</v>
      </c>
      <c r="BP34" s="29">
        <v>0</v>
      </c>
      <c r="BQ34" s="29" t="b">
        <v>0</v>
      </c>
      <c r="BR34" s="29">
        <v>0</v>
      </c>
      <c r="BS34" s="53">
        <v>0</v>
      </c>
      <c r="BT34" s="62" t="b">
        <v>0</v>
      </c>
      <c r="BU34" s="29" t="b">
        <v>0</v>
      </c>
      <c r="BV34" s="29" t="b">
        <v>0</v>
      </c>
      <c r="BW34" s="29" t="s">
        <v>79</v>
      </c>
      <c r="BX34" s="62" t="b">
        <v>0</v>
      </c>
      <c r="BY34" s="62" t="s">
        <v>431</v>
      </c>
    </row>
    <row r="35" spans="1:77" x14ac:dyDescent="0.2">
      <c r="A35" s="18" t="s">
        <v>649</v>
      </c>
      <c r="B35" s="133" t="s">
        <v>650</v>
      </c>
      <c r="C35" s="17" t="s">
        <v>122</v>
      </c>
      <c r="D35" s="164" t="s">
        <v>24</v>
      </c>
      <c r="E35" s="164" t="s">
        <v>24</v>
      </c>
      <c r="F35" s="63" t="s">
        <v>640</v>
      </c>
      <c r="G35" s="19" t="s">
        <v>376</v>
      </c>
      <c r="H35" s="29" t="b">
        <v>1</v>
      </c>
      <c r="I35" s="37" t="s">
        <v>79</v>
      </c>
      <c r="J35" s="17" t="s">
        <v>79</v>
      </c>
      <c r="K35" s="29" t="b">
        <v>0</v>
      </c>
      <c r="L35" s="70">
        <v>0</v>
      </c>
      <c r="M35" s="19">
        <v>600</v>
      </c>
      <c r="N35" s="29">
        <v>0</v>
      </c>
      <c r="O35" s="29">
        <v>0</v>
      </c>
      <c r="P35" s="29">
        <v>0</v>
      </c>
      <c r="Q35" s="29">
        <v>0</v>
      </c>
      <c r="R35" s="31">
        <v>0.96099999999999997</v>
      </c>
      <c r="S35" s="31">
        <v>0.33</v>
      </c>
      <c r="T35" s="72">
        <v>3.9E-2</v>
      </c>
      <c r="U35" s="29">
        <v>0</v>
      </c>
      <c r="V35" s="29">
        <v>0</v>
      </c>
      <c r="W35" s="75">
        <v>1</v>
      </c>
      <c r="X35" s="29">
        <v>0</v>
      </c>
      <c r="Y35" s="29">
        <v>0</v>
      </c>
      <c r="Z35" s="29">
        <v>0</v>
      </c>
      <c r="AA35" s="29">
        <v>0</v>
      </c>
      <c r="AB35" s="134">
        <v>34.460099999999997</v>
      </c>
      <c r="AC35" s="134">
        <v>5.4230999999999998</v>
      </c>
      <c r="AD35" s="29" t="s">
        <v>568</v>
      </c>
      <c r="AE35" s="53">
        <v>1.8564000000000001</v>
      </c>
      <c r="AF35" s="53">
        <v>56.929600000000001</v>
      </c>
      <c r="AG35" s="53">
        <v>56.929600000000001</v>
      </c>
      <c r="AH35" s="31">
        <v>0.3</v>
      </c>
      <c r="AI35" s="31">
        <v>0.24</v>
      </c>
      <c r="AJ35" s="29">
        <v>0.18</v>
      </c>
      <c r="AK35" s="29">
        <v>0.15</v>
      </c>
      <c r="AL35" s="62">
        <v>55</v>
      </c>
      <c r="AM35" s="135">
        <v>14</v>
      </c>
      <c r="AN35" s="31">
        <v>7.0000000000000001E-3</v>
      </c>
      <c r="AO35" s="31">
        <v>7.0000000000000007E-2</v>
      </c>
      <c r="AP35" s="31">
        <v>7.0000000000000007E-2</v>
      </c>
      <c r="AQ35" s="31">
        <v>3.5000000000000003E-2</v>
      </c>
      <c r="AR35" s="31">
        <v>7.0000000000000007E-2</v>
      </c>
      <c r="AS35" s="130">
        <v>93.28</v>
      </c>
      <c r="AT35" s="29">
        <v>0</v>
      </c>
      <c r="AU35" s="29">
        <v>0</v>
      </c>
      <c r="AV35" s="71">
        <v>1.30592</v>
      </c>
      <c r="AW35" s="71">
        <v>0</v>
      </c>
      <c r="AX35" s="71">
        <v>0</v>
      </c>
      <c r="AY35" s="71">
        <v>0</v>
      </c>
      <c r="AZ35" s="19">
        <v>0.87</v>
      </c>
      <c r="BA35" s="65">
        <v>2.63</v>
      </c>
      <c r="BB35" s="29" t="b">
        <v>0</v>
      </c>
      <c r="BC35" s="29" t="b">
        <v>0</v>
      </c>
      <c r="BD35" s="29" t="s">
        <v>79</v>
      </c>
      <c r="BE35" s="29" t="b">
        <v>0</v>
      </c>
      <c r="BF35" s="29" t="b">
        <v>0</v>
      </c>
      <c r="BG35" s="62" t="b">
        <v>0</v>
      </c>
      <c r="BH35" s="30">
        <v>0.96099999999999997</v>
      </c>
      <c r="BI35" s="29" t="b">
        <v>0</v>
      </c>
      <c r="BJ35" s="62" t="s">
        <v>391</v>
      </c>
      <c r="BK35" s="29" t="b">
        <v>0</v>
      </c>
      <c r="BL35" s="29" t="b">
        <v>0</v>
      </c>
      <c r="BM35" s="29">
        <v>0</v>
      </c>
      <c r="BN35" s="29">
        <v>0</v>
      </c>
      <c r="BO35" s="29">
        <v>0</v>
      </c>
      <c r="BP35" s="29">
        <v>0</v>
      </c>
      <c r="BQ35" s="29" t="b">
        <v>0</v>
      </c>
      <c r="BR35" s="29">
        <v>0</v>
      </c>
      <c r="BS35" s="53">
        <v>0</v>
      </c>
      <c r="BT35" s="62" t="b">
        <v>0</v>
      </c>
      <c r="BU35" s="29" t="b">
        <v>0</v>
      </c>
      <c r="BV35" s="29" t="b">
        <v>0</v>
      </c>
      <c r="BW35" s="29" t="s">
        <v>79</v>
      </c>
      <c r="BX35" s="62" t="b">
        <v>0</v>
      </c>
      <c r="BY35" s="62" t="s">
        <v>431</v>
      </c>
    </row>
    <row r="36" spans="1:77" x14ac:dyDescent="0.2">
      <c r="A36" s="18" t="s">
        <v>651</v>
      </c>
      <c r="B36" s="133" t="s">
        <v>652</v>
      </c>
      <c r="C36" s="17" t="s">
        <v>122</v>
      </c>
      <c r="D36" s="164" t="s">
        <v>24</v>
      </c>
      <c r="E36" s="164" t="s">
        <v>24</v>
      </c>
      <c r="F36" s="63" t="s">
        <v>640</v>
      </c>
      <c r="G36" s="19" t="s">
        <v>376</v>
      </c>
      <c r="H36" s="29" t="b">
        <v>1</v>
      </c>
      <c r="I36" s="37" t="s">
        <v>79</v>
      </c>
      <c r="J36" s="17" t="s">
        <v>79</v>
      </c>
      <c r="K36" s="29" t="b">
        <v>0</v>
      </c>
      <c r="L36" s="70">
        <v>0</v>
      </c>
      <c r="M36" s="19">
        <v>600</v>
      </c>
      <c r="N36" s="29">
        <v>0</v>
      </c>
      <c r="O36" s="29">
        <v>0</v>
      </c>
      <c r="P36" s="29">
        <v>0</v>
      </c>
      <c r="Q36" s="29">
        <v>0</v>
      </c>
      <c r="R36" s="31">
        <v>0.96099999999999997</v>
      </c>
      <c r="S36" s="31">
        <v>0.33</v>
      </c>
      <c r="T36" s="72">
        <v>3.9E-2</v>
      </c>
      <c r="U36" s="29">
        <v>0</v>
      </c>
      <c r="V36" s="29">
        <v>0</v>
      </c>
      <c r="W36" s="75">
        <v>1</v>
      </c>
      <c r="X36" s="29">
        <v>0</v>
      </c>
      <c r="Y36" s="29">
        <v>0</v>
      </c>
      <c r="Z36" s="29">
        <v>0</v>
      </c>
      <c r="AA36" s="29">
        <v>0</v>
      </c>
      <c r="AB36" s="134">
        <v>41.987000000000002</v>
      </c>
      <c r="AC36" s="134">
        <v>7.1699000000000002</v>
      </c>
      <c r="AD36" s="29" t="s">
        <v>568</v>
      </c>
      <c r="AE36" s="53">
        <v>1.8564000000000001</v>
      </c>
      <c r="AF36" s="53">
        <v>56.929600000000001</v>
      </c>
      <c r="AG36" s="53">
        <v>56.929600000000001</v>
      </c>
      <c r="AH36" s="31">
        <v>0.3</v>
      </c>
      <c r="AI36" s="31">
        <v>0.24</v>
      </c>
      <c r="AJ36" s="29">
        <v>0.18</v>
      </c>
      <c r="AK36" s="29">
        <v>0.15</v>
      </c>
      <c r="AL36" s="62">
        <v>55</v>
      </c>
      <c r="AM36" s="135">
        <v>15</v>
      </c>
      <c r="AN36" s="31">
        <v>7.0000000000000001E-3</v>
      </c>
      <c r="AO36" s="31">
        <v>7.0000000000000007E-2</v>
      </c>
      <c r="AP36" s="31">
        <v>7.0000000000000007E-2</v>
      </c>
      <c r="AQ36" s="31">
        <v>3.5000000000000003E-2</v>
      </c>
      <c r="AR36" s="31">
        <v>7.0000000000000007E-2</v>
      </c>
      <c r="AS36" s="130">
        <v>93.28</v>
      </c>
      <c r="AT36" s="29">
        <v>0</v>
      </c>
      <c r="AU36" s="29">
        <v>0</v>
      </c>
      <c r="AV36" s="71">
        <v>1.3992</v>
      </c>
      <c r="AW36" s="71">
        <v>0</v>
      </c>
      <c r="AX36" s="71">
        <v>0</v>
      </c>
      <c r="AY36" s="71">
        <v>0</v>
      </c>
      <c r="AZ36" s="19">
        <v>0.87</v>
      </c>
      <c r="BA36" s="65">
        <v>2.63</v>
      </c>
      <c r="BB36" s="29" t="b">
        <v>0</v>
      </c>
      <c r="BC36" s="29" t="b">
        <v>0</v>
      </c>
      <c r="BD36" s="29" t="s">
        <v>79</v>
      </c>
      <c r="BE36" s="29" t="b">
        <v>0</v>
      </c>
      <c r="BF36" s="29" t="b">
        <v>0</v>
      </c>
      <c r="BG36" s="62" t="b">
        <v>0</v>
      </c>
      <c r="BH36" s="30">
        <v>0.96099999999999997</v>
      </c>
      <c r="BI36" s="29" t="b">
        <v>0</v>
      </c>
      <c r="BJ36" s="62" t="s">
        <v>391</v>
      </c>
      <c r="BK36" s="29" t="b">
        <v>0</v>
      </c>
      <c r="BL36" s="29" t="b">
        <v>0</v>
      </c>
      <c r="BM36" s="29">
        <v>0</v>
      </c>
      <c r="BN36" s="29">
        <v>0</v>
      </c>
      <c r="BO36" s="29">
        <v>0</v>
      </c>
      <c r="BP36" s="29">
        <v>0</v>
      </c>
      <c r="BQ36" s="29" t="b">
        <v>0</v>
      </c>
      <c r="BR36" s="29">
        <v>0</v>
      </c>
      <c r="BS36" s="53">
        <v>0</v>
      </c>
      <c r="BT36" s="62" t="b">
        <v>0</v>
      </c>
      <c r="BU36" s="29" t="b">
        <v>0</v>
      </c>
      <c r="BV36" s="29" t="b">
        <v>0</v>
      </c>
      <c r="BW36" s="29" t="s">
        <v>79</v>
      </c>
      <c r="BX36" s="62" t="b">
        <v>0</v>
      </c>
      <c r="BY36" s="62" t="s">
        <v>431</v>
      </c>
    </row>
    <row r="37" spans="1:77" x14ac:dyDescent="0.2">
      <c r="A37" s="18" t="s">
        <v>653</v>
      </c>
      <c r="B37" s="133" t="s">
        <v>654</v>
      </c>
      <c r="C37" s="17" t="s">
        <v>122</v>
      </c>
      <c r="D37" s="164" t="s">
        <v>24</v>
      </c>
      <c r="E37" s="164" t="s">
        <v>24</v>
      </c>
      <c r="F37" s="63" t="s">
        <v>640</v>
      </c>
      <c r="G37" s="19" t="s">
        <v>376</v>
      </c>
      <c r="H37" s="29" t="b">
        <v>1</v>
      </c>
      <c r="I37" s="37" t="s">
        <v>79</v>
      </c>
      <c r="J37" s="17" t="s">
        <v>79</v>
      </c>
      <c r="K37" s="29" t="b">
        <v>0</v>
      </c>
      <c r="L37" s="70">
        <v>0</v>
      </c>
      <c r="M37" s="19">
        <v>600</v>
      </c>
      <c r="N37" s="29">
        <v>0</v>
      </c>
      <c r="O37" s="29">
        <v>0</v>
      </c>
      <c r="P37" s="29">
        <v>0</v>
      </c>
      <c r="Q37" s="29">
        <v>0</v>
      </c>
      <c r="R37" s="31">
        <v>0.96099999999999997</v>
      </c>
      <c r="S37" s="31">
        <v>0.33</v>
      </c>
      <c r="T37" s="72">
        <v>3.9E-2</v>
      </c>
      <c r="U37" s="29">
        <v>0</v>
      </c>
      <c r="V37" s="29">
        <v>0</v>
      </c>
      <c r="W37" s="75">
        <v>1</v>
      </c>
      <c r="X37" s="29">
        <v>0</v>
      </c>
      <c r="Y37" s="29">
        <v>0</v>
      </c>
      <c r="Z37" s="29">
        <v>0</v>
      </c>
      <c r="AA37" s="29">
        <v>0</v>
      </c>
      <c r="AB37" s="134">
        <v>53.053699999999999</v>
      </c>
      <c r="AC37" s="134">
        <v>8.3491999999999997</v>
      </c>
      <c r="AD37" s="29" t="s">
        <v>568</v>
      </c>
      <c r="AE37" s="53">
        <v>1.8564000000000001</v>
      </c>
      <c r="AF37" s="53">
        <v>56.929600000000001</v>
      </c>
      <c r="AG37" s="53">
        <v>56.929600000000001</v>
      </c>
      <c r="AH37" s="31">
        <v>0.3</v>
      </c>
      <c r="AI37" s="31">
        <v>0.24</v>
      </c>
      <c r="AJ37" s="29">
        <v>0.18</v>
      </c>
      <c r="AK37" s="29">
        <v>0.15</v>
      </c>
      <c r="AL37" s="62">
        <v>55</v>
      </c>
      <c r="AM37" s="135">
        <v>16</v>
      </c>
      <c r="AN37" s="31">
        <v>7.0000000000000001E-3</v>
      </c>
      <c r="AO37" s="31">
        <v>7.0000000000000007E-2</v>
      </c>
      <c r="AP37" s="31">
        <v>7.0000000000000007E-2</v>
      </c>
      <c r="AQ37" s="31">
        <v>3.5000000000000003E-2</v>
      </c>
      <c r="AR37" s="31">
        <v>7.0000000000000007E-2</v>
      </c>
      <c r="AS37" s="130">
        <v>93.28</v>
      </c>
      <c r="AT37" s="29">
        <v>0</v>
      </c>
      <c r="AU37" s="29">
        <v>0</v>
      </c>
      <c r="AV37" s="71">
        <v>1.49248</v>
      </c>
      <c r="AW37" s="71">
        <v>0</v>
      </c>
      <c r="AX37" s="71">
        <v>0</v>
      </c>
      <c r="AY37" s="71">
        <v>0</v>
      </c>
      <c r="AZ37" s="19">
        <v>0.87</v>
      </c>
      <c r="BA37" s="65">
        <v>2.63</v>
      </c>
      <c r="BB37" s="29" t="b">
        <v>0</v>
      </c>
      <c r="BC37" s="29" t="b">
        <v>0</v>
      </c>
      <c r="BD37" s="29" t="s">
        <v>79</v>
      </c>
      <c r="BE37" s="29" t="b">
        <v>0</v>
      </c>
      <c r="BF37" s="29" t="b">
        <v>0</v>
      </c>
      <c r="BG37" s="62" t="b">
        <v>0</v>
      </c>
      <c r="BH37" s="30">
        <v>0.96099999999999997</v>
      </c>
      <c r="BI37" s="29" t="b">
        <v>0</v>
      </c>
      <c r="BJ37" s="62" t="s">
        <v>391</v>
      </c>
      <c r="BK37" s="29" t="b">
        <v>0</v>
      </c>
      <c r="BL37" s="29" t="b">
        <v>0</v>
      </c>
      <c r="BM37" s="29">
        <v>0</v>
      </c>
      <c r="BN37" s="29">
        <v>0</v>
      </c>
      <c r="BO37" s="29">
        <v>0</v>
      </c>
      <c r="BP37" s="29">
        <v>0</v>
      </c>
      <c r="BQ37" s="29" t="b">
        <v>0</v>
      </c>
      <c r="BR37" s="29">
        <v>0</v>
      </c>
      <c r="BS37" s="53">
        <v>0</v>
      </c>
      <c r="BT37" s="62" t="b">
        <v>0</v>
      </c>
      <c r="BU37" s="29" t="b">
        <v>0</v>
      </c>
      <c r="BV37" s="29" t="b">
        <v>0</v>
      </c>
      <c r="BW37" s="29" t="s">
        <v>79</v>
      </c>
      <c r="BX37" s="62" t="b">
        <v>0</v>
      </c>
      <c r="BY37" s="62" t="s">
        <v>431</v>
      </c>
    </row>
    <row r="38" spans="1:77" x14ac:dyDescent="0.2">
      <c r="A38" s="18" t="s">
        <v>655</v>
      </c>
      <c r="B38" s="133" t="s">
        <v>656</v>
      </c>
      <c r="C38" s="17" t="s">
        <v>122</v>
      </c>
      <c r="D38" s="164" t="s">
        <v>24</v>
      </c>
      <c r="E38" s="164" t="s">
        <v>24</v>
      </c>
      <c r="F38" s="63" t="s">
        <v>640</v>
      </c>
      <c r="G38" s="19" t="s">
        <v>376</v>
      </c>
      <c r="H38" s="29" t="b">
        <v>1</v>
      </c>
      <c r="I38" s="37" t="s">
        <v>79</v>
      </c>
      <c r="J38" s="17" t="s">
        <v>79</v>
      </c>
      <c r="K38" s="29" t="b">
        <v>0</v>
      </c>
      <c r="L38" s="70">
        <v>0</v>
      </c>
      <c r="M38" s="19">
        <v>600</v>
      </c>
      <c r="N38" s="29">
        <v>0</v>
      </c>
      <c r="O38" s="29">
        <v>0</v>
      </c>
      <c r="P38" s="29">
        <v>0</v>
      </c>
      <c r="Q38" s="29">
        <v>0</v>
      </c>
      <c r="R38" s="31">
        <v>0.96099999999999997</v>
      </c>
      <c r="S38" s="31">
        <v>0.33</v>
      </c>
      <c r="T38" s="72">
        <v>3.9E-2</v>
      </c>
      <c r="U38" s="29">
        <v>0</v>
      </c>
      <c r="V38" s="29">
        <v>0</v>
      </c>
      <c r="W38" s="75">
        <v>1</v>
      </c>
      <c r="X38" s="29">
        <v>0</v>
      </c>
      <c r="Y38" s="29">
        <v>0</v>
      </c>
      <c r="Z38" s="29">
        <v>0</v>
      </c>
      <c r="AA38" s="29">
        <v>0</v>
      </c>
      <c r="AB38" s="134">
        <v>34.460099999999997</v>
      </c>
      <c r="AC38" s="134">
        <v>5.4230999999999998</v>
      </c>
      <c r="AD38" s="29" t="s">
        <v>568</v>
      </c>
      <c r="AE38" s="53">
        <v>1.8564000000000001</v>
      </c>
      <c r="AF38" s="53">
        <v>56.929600000000001</v>
      </c>
      <c r="AG38" s="53">
        <v>56.929600000000001</v>
      </c>
      <c r="AH38" s="31">
        <v>0.3</v>
      </c>
      <c r="AI38" s="31">
        <v>0.24</v>
      </c>
      <c r="AJ38" s="29">
        <v>0.18</v>
      </c>
      <c r="AK38" s="29">
        <v>0.15</v>
      </c>
      <c r="AL38" s="62">
        <v>55</v>
      </c>
      <c r="AM38" s="135">
        <v>17</v>
      </c>
      <c r="AN38" s="31">
        <v>7.0000000000000001E-3</v>
      </c>
      <c r="AO38" s="31">
        <v>7.0000000000000007E-2</v>
      </c>
      <c r="AP38" s="31">
        <v>7.0000000000000007E-2</v>
      </c>
      <c r="AQ38" s="31">
        <v>3.5000000000000003E-2</v>
      </c>
      <c r="AR38" s="31">
        <v>7.0000000000000007E-2</v>
      </c>
      <c r="AS38" s="130">
        <v>93.28</v>
      </c>
      <c r="AT38" s="29">
        <v>0</v>
      </c>
      <c r="AU38" s="29">
        <v>0</v>
      </c>
      <c r="AV38" s="71">
        <v>1.5857600000000001</v>
      </c>
      <c r="AW38" s="71">
        <v>0</v>
      </c>
      <c r="AX38" s="71">
        <v>0</v>
      </c>
      <c r="AY38" s="71">
        <v>0</v>
      </c>
      <c r="AZ38" s="19">
        <v>0.87</v>
      </c>
      <c r="BA38" s="65">
        <v>2.63</v>
      </c>
      <c r="BB38" s="29" t="b">
        <v>0</v>
      </c>
      <c r="BC38" s="29" t="b">
        <v>0</v>
      </c>
      <c r="BD38" s="29" t="s">
        <v>79</v>
      </c>
      <c r="BE38" s="29" t="b">
        <v>0</v>
      </c>
      <c r="BF38" s="29" t="b">
        <v>0</v>
      </c>
      <c r="BG38" s="62" t="b">
        <v>0</v>
      </c>
      <c r="BH38" s="30">
        <v>0.96099999999999997</v>
      </c>
      <c r="BI38" s="29" t="b">
        <v>0</v>
      </c>
      <c r="BJ38" s="62" t="s">
        <v>391</v>
      </c>
      <c r="BK38" s="29" t="b">
        <v>0</v>
      </c>
      <c r="BL38" s="29" t="b">
        <v>0</v>
      </c>
      <c r="BM38" s="29">
        <v>0</v>
      </c>
      <c r="BN38" s="29">
        <v>0</v>
      </c>
      <c r="BO38" s="29">
        <v>0</v>
      </c>
      <c r="BP38" s="29">
        <v>0</v>
      </c>
      <c r="BQ38" s="29" t="b">
        <v>0</v>
      </c>
      <c r="BR38" s="29">
        <v>0</v>
      </c>
      <c r="BS38" s="53">
        <v>0</v>
      </c>
      <c r="BT38" s="62" t="b">
        <v>0</v>
      </c>
      <c r="BU38" s="29" t="b">
        <v>0</v>
      </c>
      <c r="BV38" s="29" t="b">
        <v>0</v>
      </c>
      <c r="BW38" s="29" t="s">
        <v>79</v>
      </c>
      <c r="BX38" s="62" t="b">
        <v>0</v>
      </c>
      <c r="BY38" s="62" t="s">
        <v>431</v>
      </c>
    </row>
    <row r="39" spans="1:77" x14ac:dyDescent="0.2">
      <c r="A39" s="18" t="s">
        <v>657</v>
      </c>
      <c r="B39" s="133" t="s">
        <v>658</v>
      </c>
      <c r="C39" s="17" t="s">
        <v>122</v>
      </c>
      <c r="D39" s="164" t="s">
        <v>24</v>
      </c>
      <c r="E39" s="164" t="s">
        <v>24</v>
      </c>
      <c r="F39" s="63" t="s">
        <v>640</v>
      </c>
      <c r="G39" s="19" t="s">
        <v>376</v>
      </c>
      <c r="H39" s="29" t="b">
        <v>1</v>
      </c>
      <c r="I39" s="37" t="s">
        <v>79</v>
      </c>
      <c r="J39" s="17" t="s">
        <v>79</v>
      </c>
      <c r="K39" s="29" t="b">
        <v>0</v>
      </c>
      <c r="L39" s="70">
        <v>0</v>
      </c>
      <c r="M39" s="19">
        <v>600</v>
      </c>
      <c r="N39" s="29">
        <v>0</v>
      </c>
      <c r="O39" s="29">
        <v>0</v>
      </c>
      <c r="P39" s="29">
        <v>0</v>
      </c>
      <c r="Q39" s="29">
        <v>0</v>
      </c>
      <c r="R39" s="31">
        <v>0.96099999999999997</v>
      </c>
      <c r="S39" s="31">
        <v>0.33</v>
      </c>
      <c r="T39" s="72">
        <v>3.9E-2</v>
      </c>
      <c r="U39" s="29">
        <v>0</v>
      </c>
      <c r="V39" s="29">
        <v>0</v>
      </c>
      <c r="W39" s="75">
        <v>1</v>
      </c>
      <c r="X39" s="29">
        <v>0</v>
      </c>
      <c r="Y39" s="29">
        <v>0</v>
      </c>
      <c r="Z39" s="29">
        <v>0</v>
      </c>
      <c r="AA39" s="29">
        <v>0</v>
      </c>
      <c r="AB39" s="134">
        <v>34.460099999999997</v>
      </c>
      <c r="AC39" s="134">
        <v>5.4230999999999998</v>
      </c>
      <c r="AD39" s="29" t="s">
        <v>568</v>
      </c>
      <c r="AE39" s="53">
        <v>1.8564000000000001</v>
      </c>
      <c r="AF39" s="53">
        <v>56.929600000000001</v>
      </c>
      <c r="AG39" s="53">
        <v>56.929600000000001</v>
      </c>
      <c r="AH39" s="31">
        <v>0.3</v>
      </c>
      <c r="AI39" s="31">
        <v>0.24</v>
      </c>
      <c r="AJ39" s="29">
        <v>0.18</v>
      </c>
      <c r="AK39" s="29">
        <v>0.15</v>
      </c>
      <c r="AL39" s="62">
        <v>55</v>
      </c>
      <c r="AM39" s="135">
        <v>18</v>
      </c>
      <c r="AN39" s="31">
        <v>7.0000000000000001E-3</v>
      </c>
      <c r="AO39" s="31">
        <v>7.0000000000000007E-2</v>
      </c>
      <c r="AP39" s="31">
        <v>7.0000000000000007E-2</v>
      </c>
      <c r="AQ39" s="31">
        <v>3.5000000000000003E-2</v>
      </c>
      <c r="AR39" s="31">
        <v>7.0000000000000007E-2</v>
      </c>
      <c r="AS39" s="130">
        <v>93.28</v>
      </c>
      <c r="AT39" s="29">
        <v>0</v>
      </c>
      <c r="AU39" s="29">
        <v>0</v>
      </c>
      <c r="AV39" s="71">
        <v>1.6790400000000001</v>
      </c>
      <c r="AW39" s="71">
        <v>0</v>
      </c>
      <c r="AX39" s="71">
        <v>0</v>
      </c>
      <c r="AY39" s="71">
        <v>0</v>
      </c>
      <c r="AZ39" s="19">
        <v>0.87</v>
      </c>
      <c r="BA39" s="65">
        <v>2.63</v>
      </c>
      <c r="BB39" s="29" t="b">
        <v>0</v>
      </c>
      <c r="BC39" s="29" t="b">
        <v>0</v>
      </c>
      <c r="BD39" s="29" t="s">
        <v>79</v>
      </c>
      <c r="BE39" s="29" t="b">
        <v>0</v>
      </c>
      <c r="BF39" s="29" t="b">
        <v>0</v>
      </c>
      <c r="BG39" s="62" t="b">
        <v>0</v>
      </c>
      <c r="BH39" s="30">
        <v>0.96099999999999997</v>
      </c>
      <c r="BI39" s="29" t="b">
        <v>0</v>
      </c>
      <c r="BJ39" s="62" t="s">
        <v>391</v>
      </c>
      <c r="BK39" s="29" t="b">
        <v>0</v>
      </c>
      <c r="BL39" s="29" t="b">
        <v>0</v>
      </c>
      <c r="BM39" s="29">
        <v>0</v>
      </c>
      <c r="BN39" s="29">
        <v>0</v>
      </c>
      <c r="BO39" s="29">
        <v>0</v>
      </c>
      <c r="BP39" s="29">
        <v>0</v>
      </c>
      <c r="BQ39" s="29" t="b">
        <v>0</v>
      </c>
      <c r="BR39" s="29">
        <v>0</v>
      </c>
      <c r="BS39" s="53">
        <v>0</v>
      </c>
      <c r="BT39" s="62" t="b">
        <v>0</v>
      </c>
      <c r="BU39" s="29" t="b">
        <v>0</v>
      </c>
      <c r="BV39" s="29" t="b">
        <v>0</v>
      </c>
      <c r="BW39" s="29" t="s">
        <v>79</v>
      </c>
      <c r="BX39" s="62" t="b">
        <v>0</v>
      </c>
      <c r="BY39" s="62" t="s">
        <v>431</v>
      </c>
    </row>
    <row r="40" spans="1:77" ht="15" customHeight="1" x14ac:dyDescent="0.2">
      <c r="A40" s="18" t="s">
        <v>659</v>
      </c>
      <c r="B40" s="133" t="s">
        <v>660</v>
      </c>
      <c r="C40" s="17" t="s">
        <v>122</v>
      </c>
      <c r="D40" s="164" t="s">
        <v>195</v>
      </c>
      <c r="E40" s="164" t="s">
        <v>195</v>
      </c>
      <c r="F40" s="63" t="s">
        <v>661</v>
      </c>
      <c r="G40" s="19" t="s">
        <v>376</v>
      </c>
      <c r="H40" s="29" t="b">
        <v>0</v>
      </c>
      <c r="I40" s="37" t="s">
        <v>79</v>
      </c>
      <c r="J40" s="17" t="s">
        <v>79</v>
      </c>
      <c r="K40" s="29" t="b">
        <v>0</v>
      </c>
      <c r="L40" s="70">
        <v>0</v>
      </c>
      <c r="M40" s="19">
        <v>100</v>
      </c>
      <c r="N40" s="29">
        <v>0</v>
      </c>
      <c r="O40" s="29">
        <v>0</v>
      </c>
      <c r="P40" s="29">
        <v>0</v>
      </c>
      <c r="Q40" s="29">
        <v>0</v>
      </c>
      <c r="R40" s="31">
        <v>0.93900000000000006</v>
      </c>
      <c r="S40" s="31">
        <v>0.5</v>
      </c>
      <c r="T40" s="72">
        <v>6.0999999999999999E-2</v>
      </c>
      <c r="U40" s="29">
        <v>0</v>
      </c>
      <c r="V40" s="29">
        <v>0</v>
      </c>
      <c r="W40" s="75">
        <v>1</v>
      </c>
      <c r="X40" s="29">
        <v>0</v>
      </c>
      <c r="Y40" s="29">
        <v>0</v>
      </c>
      <c r="Z40" s="29">
        <v>0</v>
      </c>
      <c r="AA40" s="29">
        <v>0</v>
      </c>
      <c r="AB40" s="134">
        <v>57.506900000000002</v>
      </c>
      <c r="AC40" s="134">
        <v>5.9515000000000002</v>
      </c>
      <c r="AD40" s="29" t="s">
        <v>568</v>
      </c>
      <c r="AE40" s="53">
        <v>3.2841</v>
      </c>
      <c r="AF40" s="53">
        <v>139.29750000000001</v>
      </c>
      <c r="AG40" s="53">
        <v>139.29750000000001</v>
      </c>
      <c r="AH40" s="31">
        <v>0.3</v>
      </c>
      <c r="AI40" s="31">
        <v>0.24</v>
      </c>
      <c r="AJ40" s="29">
        <v>0.18</v>
      </c>
      <c r="AK40" s="29">
        <v>0.15</v>
      </c>
      <c r="AL40" s="62">
        <v>33</v>
      </c>
      <c r="AM40" s="135">
        <v>9</v>
      </c>
      <c r="AN40" s="31">
        <v>0.14000000000000001</v>
      </c>
      <c r="AO40" s="31">
        <v>1</v>
      </c>
      <c r="AP40" s="31">
        <v>1</v>
      </c>
      <c r="AQ40" s="31">
        <v>0.70000000000000007</v>
      </c>
      <c r="AR40" s="31">
        <v>1</v>
      </c>
      <c r="AS40" s="130">
        <v>73.959999999999994</v>
      </c>
      <c r="AT40" s="29">
        <v>0</v>
      </c>
      <c r="AU40" s="29">
        <v>0</v>
      </c>
      <c r="AV40" s="71">
        <v>0.66564000000000001</v>
      </c>
      <c r="AW40" s="71">
        <v>0</v>
      </c>
      <c r="AX40" s="71">
        <v>0</v>
      </c>
      <c r="AY40" s="71">
        <v>0</v>
      </c>
      <c r="AZ40" s="19">
        <v>0.88</v>
      </c>
      <c r="BA40" s="65">
        <v>4.97</v>
      </c>
      <c r="BB40" s="29" t="b">
        <v>0</v>
      </c>
      <c r="BC40" s="29" t="b">
        <v>0</v>
      </c>
      <c r="BD40" s="29" t="s">
        <v>79</v>
      </c>
      <c r="BE40" s="29" t="b">
        <v>0</v>
      </c>
      <c r="BF40" s="29" t="b">
        <v>0</v>
      </c>
      <c r="BG40" s="62" t="b">
        <v>0</v>
      </c>
      <c r="BH40" s="30">
        <v>0.93900000000000006</v>
      </c>
      <c r="BI40" s="29" t="b">
        <v>0</v>
      </c>
      <c r="BJ40" s="62" t="s">
        <v>393</v>
      </c>
      <c r="BK40" s="29" t="b">
        <v>0</v>
      </c>
      <c r="BL40" s="29" t="b">
        <v>0</v>
      </c>
      <c r="BM40" s="29">
        <v>0</v>
      </c>
      <c r="BN40" s="29">
        <v>0</v>
      </c>
      <c r="BO40" s="29">
        <v>0</v>
      </c>
      <c r="BP40" s="29">
        <v>0</v>
      </c>
      <c r="BQ40" s="29" t="b">
        <v>0</v>
      </c>
      <c r="BR40" s="29">
        <v>0</v>
      </c>
      <c r="BS40" s="53">
        <v>0</v>
      </c>
      <c r="BT40" s="62" t="b">
        <v>0</v>
      </c>
      <c r="BU40" s="29" t="b">
        <v>0</v>
      </c>
      <c r="BV40" s="29" t="b">
        <v>0</v>
      </c>
      <c r="BW40" s="29" t="s">
        <v>79</v>
      </c>
      <c r="BX40" s="62" t="b">
        <v>0</v>
      </c>
      <c r="BY40" s="62" t="s">
        <v>431</v>
      </c>
    </row>
    <row r="41" spans="1:77" ht="15" customHeight="1" x14ac:dyDescent="0.2">
      <c r="A41" s="18" t="s">
        <v>662</v>
      </c>
      <c r="B41" s="133" t="s">
        <v>663</v>
      </c>
      <c r="C41" s="17" t="s">
        <v>122</v>
      </c>
      <c r="D41" s="164" t="s">
        <v>195</v>
      </c>
      <c r="E41" s="164" t="s">
        <v>195</v>
      </c>
      <c r="F41" s="63" t="s">
        <v>661</v>
      </c>
      <c r="G41" s="19" t="s">
        <v>376</v>
      </c>
      <c r="H41" s="29" t="b">
        <v>0</v>
      </c>
      <c r="I41" s="37" t="s">
        <v>79</v>
      </c>
      <c r="J41" s="17" t="s">
        <v>79</v>
      </c>
      <c r="K41" s="29" t="b">
        <v>0</v>
      </c>
      <c r="L41" s="70">
        <v>0</v>
      </c>
      <c r="M41" s="19">
        <v>100</v>
      </c>
      <c r="N41" s="29">
        <v>0</v>
      </c>
      <c r="O41" s="29">
        <v>0</v>
      </c>
      <c r="P41" s="29">
        <v>0</v>
      </c>
      <c r="Q41" s="29">
        <v>0</v>
      </c>
      <c r="R41" s="31">
        <v>0.93900000000000006</v>
      </c>
      <c r="S41" s="31">
        <v>0.5</v>
      </c>
      <c r="T41" s="72">
        <v>6.0999999999999999E-2</v>
      </c>
      <c r="U41" s="29">
        <v>0</v>
      </c>
      <c r="V41" s="29">
        <v>0</v>
      </c>
      <c r="W41" s="75">
        <v>1</v>
      </c>
      <c r="X41" s="29">
        <v>0</v>
      </c>
      <c r="Y41" s="29">
        <v>0</v>
      </c>
      <c r="Z41" s="29">
        <v>0</v>
      </c>
      <c r="AA41" s="29">
        <v>0</v>
      </c>
      <c r="AB41" s="134">
        <v>50.017800000000001</v>
      </c>
      <c r="AC41" s="134">
        <v>3.9826000000000001</v>
      </c>
      <c r="AD41" s="29" t="s">
        <v>568</v>
      </c>
      <c r="AE41" s="53">
        <v>3.2841</v>
      </c>
      <c r="AF41" s="53">
        <v>139.29750000000001</v>
      </c>
      <c r="AG41" s="53">
        <v>139.29750000000001</v>
      </c>
      <c r="AH41" s="31">
        <v>0.3</v>
      </c>
      <c r="AI41" s="31">
        <v>0.24</v>
      </c>
      <c r="AJ41" s="29">
        <v>0.18</v>
      </c>
      <c r="AK41" s="29">
        <v>0.15</v>
      </c>
      <c r="AL41" s="62">
        <v>33</v>
      </c>
      <c r="AM41" s="135">
        <v>10</v>
      </c>
      <c r="AN41" s="31">
        <v>0.14000000000000001</v>
      </c>
      <c r="AO41" s="31">
        <v>1</v>
      </c>
      <c r="AP41" s="31">
        <v>1</v>
      </c>
      <c r="AQ41" s="31">
        <v>0.70000000000000007</v>
      </c>
      <c r="AR41" s="31">
        <v>1</v>
      </c>
      <c r="AS41" s="130">
        <v>73.959999999999994</v>
      </c>
      <c r="AT41" s="29">
        <v>0</v>
      </c>
      <c r="AU41" s="29">
        <v>0</v>
      </c>
      <c r="AV41" s="71">
        <v>0.73959999999999992</v>
      </c>
      <c r="AW41" s="71">
        <v>0</v>
      </c>
      <c r="AX41" s="71">
        <v>0</v>
      </c>
      <c r="AY41" s="71">
        <v>0</v>
      </c>
      <c r="AZ41" s="19">
        <v>0.88</v>
      </c>
      <c r="BA41" s="65">
        <v>4.97</v>
      </c>
      <c r="BB41" s="29" t="b">
        <v>0</v>
      </c>
      <c r="BC41" s="29" t="b">
        <v>0</v>
      </c>
      <c r="BD41" s="29" t="s">
        <v>79</v>
      </c>
      <c r="BE41" s="29" t="b">
        <v>0</v>
      </c>
      <c r="BF41" s="29" t="b">
        <v>0</v>
      </c>
      <c r="BG41" s="62" t="b">
        <v>0</v>
      </c>
      <c r="BH41" s="30">
        <v>0.93900000000000006</v>
      </c>
      <c r="BI41" s="29" t="b">
        <v>0</v>
      </c>
      <c r="BJ41" s="62" t="s">
        <v>393</v>
      </c>
      <c r="BK41" s="29" t="b">
        <v>0</v>
      </c>
      <c r="BL41" s="29" t="b">
        <v>0</v>
      </c>
      <c r="BM41" s="29">
        <v>0</v>
      </c>
      <c r="BN41" s="29">
        <v>0</v>
      </c>
      <c r="BO41" s="29">
        <v>0</v>
      </c>
      <c r="BP41" s="29">
        <v>0</v>
      </c>
      <c r="BQ41" s="29" t="b">
        <v>0</v>
      </c>
      <c r="BR41" s="29">
        <v>0</v>
      </c>
      <c r="BS41" s="53">
        <v>0</v>
      </c>
      <c r="BT41" s="62" t="b">
        <v>0</v>
      </c>
      <c r="BU41" s="29" t="b">
        <v>0</v>
      </c>
      <c r="BV41" s="29" t="b">
        <v>0</v>
      </c>
      <c r="BW41" s="29" t="s">
        <v>79</v>
      </c>
      <c r="BX41" s="62" t="b">
        <v>0</v>
      </c>
      <c r="BY41" s="62" t="s">
        <v>431</v>
      </c>
    </row>
    <row r="42" spans="1:77" ht="15" customHeight="1" x14ac:dyDescent="0.2">
      <c r="A42" s="18" t="s">
        <v>664</v>
      </c>
      <c r="B42" s="133" t="s">
        <v>665</v>
      </c>
      <c r="C42" s="17" t="s">
        <v>122</v>
      </c>
      <c r="D42" s="164" t="s">
        <v>195</v>
      </c>
      <c r="E42" s="164" t="s">
        <v>195</v>
      </c>
      <c r="F42" s="63" t="s">
        <v>661</v>
      </c>
      <c r="G42" s="19" t="s">
        <v>376</v>
      </c>
      <c r="H42" s="29" t="b">
        <v>0</v>
      </c>
      <c r="I42" s="37" t="s">
        <v>79</v>
      </c>
      <c r="J42" s="17" t="s">
        <v>79</v>
      </c>
      <c r="K42" s="29" t="b">
        <v>0</v>
      </c>
      <c r="L42" s="70">
        <v>0</v>
      </c>
      <c r="M42" s="19">
        <v>100</v>
      </c>
      <c r="N42" s="29">
        <v>0</v>
      </c>
      <c r="O42" s="29">
        <v>0</v>
      </c>
      <c r="P42" s="29">
        <v>0</v>
      </c>
      <c r="Q42" s="29">
        <v>0</v>
      </c>
      <c r="R42" s="31">
        <v>0.93900000000000006</v>
      </c>
      <c r="S42" s="31">
        <v>0.45</v>
      </c>
      <c r="T42" s="72">
        <v>6.0999999999999999E-2</v>
      </c>
      <c r="U42" s="29">
        <v>0</v>
      </c>
      <c r="V42" s="29">
        <v>0</v>
      </c>
      <c r="W42" s="75">
        <v>1</v>
      </c>
      <c r="X42" s="29">
        <v>0</v>
      </c>
      <c r="Y42" s="29">
        <v>0</v>
      </c>
      <c r="Z42" s="29">
        <v>0</v>
      </c>
      <c r="AA42" s="29">
        <v>0</v>
      </c>
      <c r="AB42" s="134">
        <v>12.9117</v>
      </c>
      <c r="AC42" s="134">
        <v>5.0087000000000002</v>
      </c>
      <c r="AD42" s="29" t="s">
        <v>568</v>
      </c>
      <c r="AE42" s="53">
        <v>3.2841</v>
      </c>
      <c r="AF42" s="53">
        <v>139.29750000000001</v>
      </c>
      <c r="AG42" s="53">
        <v>139.29750000000001</v>
      </c>
      <c r="AH42" s="31">
        <v>0.3</v>
      </c>
      <c r="AI42" s="31">
        <v>0.24</v>
      </c>
      <c r="AJ42" s="29">
        <v>0.18</v>
      </c>
      <c r="AK42" s="29">
        <v>0.15</v>
      </c>
      <c r="AL42" s="62">
        <v>15</v>
      </c>
      <c r="AM42" s="135">
        <v>12</v>
      </c>
      <c r="AN42" s="31">
        <v>0.14000000000000001</v>
      </c>
      <c r="AO42" s="31">
        <v>1</v>
      </c>
      <c r="AP42" s="31">
        <v>1</v>
      </c>
      <c r="AQ42" s="31">
        <v>0.70000000000000007</v>
      </c>
      <c r="AR42" s="31">
        <v>1</v>
      </c>
      <c r="AS42" s="130">
        <v>73.959999999999994</v>
      </c>
      <c r="AT42" s="29">
        <v>0</v>
      </c>
      <c r="AU42" s="29">
        <v>0</v>
      </c>
      <c r="AV42" s="71">
        <v>0.88751999999999998</v>
      </c>
      <c r="AW42" s="71">
        <v>0</v>
      </c>
      <c r="AX42" s="71">
        <v>0</v>
      </c>
      <c r="AY42" s="71">
        <v>0</v>
      </c>
      <c r="AZ42" s="19">
        <v>0.87</v>
      </c>
      <c r="BA42" s="65">
        <v>5.29</v>
      </c>
      <c r="BB42" s="29" t="b">
        <v>0</v>
      </c>
      <c r="BC42" s="29" t="b">
        <v>0</v>
      </c>
      <c r="BD42" s="29" t="s">
        <v>79</v>
      </c>
      <c r="BE42" s="29" t="b">
        <v>0</v>
      </c>
      <c r="BF42" s="29" t="b">
        <v>0</v>
      </c>
      <c r="BG42" s="62" t="b">
        <v>0</v>
      </c>
      <c r="BH42" s="30">
        <v>0.93900000000000006</v>
      </c>
      <c r="BI42" s="29" t="b">
        <v>0</v>
      </c>
      <c r="BJ42" s="62" t="s">
        <v>392</v>
      </c>
      <c r="BK42" s="29" t="b">
        <v>0</v>
      </c>
      <c r="BL42" s="29" t="b">
        <v>0</v>
      </c>
      <c r="BM42" s="29">
        <v>0</v>
      </c>
      <c r="BN42" s="29">
        <v>0</v>
      </c>
      <c r="BO42" s="29">
        <v>0</v>
      </c>
      <c r="BP42" s="29">
        <v>0</v>
      </c>
      <c r="BQ42" s="29" t="b">
        <v>0</v>
      </c>
      <c r="BR42" s="29">
        <v>0</v>
      </c>
      <c r="BS42" s="53">
        <v>0</v>
      </c>
      <c r="BT42" s="62" t="b">
        <v>0</v>
      </c>
      <c r="BU42" s="29" t="b">
        <v>0</v>
      </c>
      <c r="BV42" s="29" t="b">
        <v>0</v>
      </c>
      <c r="BW42" s="29" t="s">
        <v>79</v>
      </c>
      <c r="BX42" s="62" t="b">
        <v>0</v>
      </c>
      <c r="BY42" s="62" t="s">
        <v>431</v>
      </c>
    </row>
    <row r="43" spans="1:77" ht="15" customHeight="1" x14ac:dyDescent="0.2">
      <c r="A43" s="18" t="s">
        <v>666</v>
      </c>
      <c r="B43" s="133" t="s">
        <v>667</v>
      </c>
      <c r="C43" s="17" t="s">
        <v>122</v>
      </c>
      <c r="D43" s="164" t="s">
        <v>195</v>
      </c>
      <c r="E43" s="164" t="s">
        <v>195</v>
      </c>
      <c r="F43" s="63" t="s">
        <v>661</v>
      </c>
      <c r="G43" s="19" t="s">
        <v>376</v>
      </c>
      <c r="H43" s="29" t="b">
        <v>0</v>
      </c>
      <c r="I43" s="37" t="s">
        <v>79</v>
      </c>
      <c r="J43" s="17" t="s">
        <v>79</v>
      </c>
      <c r="K43" s="29" t="b">
        <v>0</v>
      </c>
      <c r="L43" s="70">
        <v>0</v>
      </c>
      <c r="M43" s="19">
        <v>100</v>
      </c>
      <c r="N43" s="29">
        <v>0</v>
      </c>
      <c r="O43" s="29">
        <v>0</v>
      </c>
      <c r="P43" s="29">
        <v>0</v>
      </c>
      <c r="Q43" s="29">
        <v>0</v>
      </c>
      <c r="R43" s="31">
        <v>0.93900000000000006</v>
      </c>
      <c r="S43" s="31">
        <v>0.45</v>
      </c>
      <c r="T43" s="72">
        <v>6.0999999999999999E-2</v>
      </c>
      <c r="U43" s="29">
        <v>0</v>
      </c>
      <c r="V43" s="29">
        <v>0</v>
      </c>
      <c r="W43" s="75">
        <v>1</v>
      </c>
      <c r="X43" s="29">
        <v>0</v>
      </c>
      <c r="Y43" s="29">
        <v>0</v>
      </c>
      <c r="Z43" s="29">
        <v>0</v>
      </c>
      <c r="AA43" s="29">
        <v>0</v>
      </c>
      <c r="AB43" s="134">
        <v>28.273199999999999</v>
      </c>
      <c r="AC43" s="134">
        <v>1.6040000000000001</v>
      </c>
      <c r="AD43" s="29" t="s">
        <v>568</v>
      </c>
      <c r="AE43" s="53">
        <v>3.2841</v>
      </c>
      <c r="AF43" s="53">
        <v>139.29750000000001</v>
      </c>
      <c r="AG43" s="53">
        <v>139.29750000000001</v>
      </c>
      <c r="AH43" s="31">
        <v>0.3</v>
      </c>
      <c r="AI43" s="31">
        <v>0.24</v>
      </c>
      <c r="AJ43" s="29">
        <v>0.18</v>
      </c>
      <c r="AK43" s="29">
        <v>0.15</v>
      </c>
      <c r="AL43" s="62">
        <v>15</v>
      </c>
      <c r="AM43" s="135">
        <v>13</v>
      </c>
      <c r="AN43" s="31">
        <v>0.14000000000000001</v>
      </c>
      <c r="AO43" s="31">
        <v>1</v>
      </c>
      <c r="AP43" s="31">
        <v>1</v>
      </c>
      <c r="AQ43" s="31">
        <v>0.70000000000000007</v>
      </c>
      <c r="AR43" s="31">
        <v>1</v>
      </c>
      <c r="AS43" s="130">
        <v>73.959999999999994</v>
      </c>
      <c r="AT43" s="29">
        <v>0</v>
      </c>
      <c r="AU43" s="29">
        <v>0</v>
      </c>
      <c r="AV43" s="71">
        <v>0.96147999999999989</v>
      </c>
      <c r="AW43" s="71">
        <v>0</v>
      </c>
      <c r="AX43" s="71">
        <v>0</v>
      </c>
      <c r="AY43" s="71">
        <v>0</v>
      </c>
      <c r="AZ43" s="19">
        <v>0.87</v>
      </c>
      <c r="BA43" s="65">
        <v>5.29</v>
      </c>
      <c r="BB43" s="29" t="b">
        <v>0</v>
      </c>
      <c r="BC43" s="29" t="b">
        <v>0</v>
      </c>
      <c r="BD43" s="29" t="s">
        <v>79</v>
      </c>
      <c r="BE43" s="29" t="b">
        <v>0</v>
      </c>
      <c r="BF43" s="29" t="b">
        <v>0</v>
      </c>
      <c r="BG43" s="62" t="b">
        <v>0</v>
      </c>
      <c r="BH43" s="30">
        <v>0.93900000000000006</v>
      </c>
      <c r="BI43" s="29" t="b">
        <v>0</v>
      </c>
      <c r="BJ43" s="62" t="s">
        <v>392</v>
      </c>
      <c r="BK43" s="29" t="b">
        <v>0</v>
      </c>
      <c r="BL43" s="29" t="b">
        <v>0</v>
      </c>
      <c r="BM43" s="29">
        <v>0</v>
      </c>
      <c r="BN43" s="29">
        <v>0</v>
      </c>
      <c r="BO43" s="29">
        <v>0</v>
      </c>
      <c r="BP43" s="29">
        <v>0</v>
      </c>
      <c r="BQ43" s="29" t="b">
        <v>0</v>
      </c>
      <c r="BR43" s="29">
        <v>0</v>
      </c>
      <c r="BS43" s="53">
        <v>0</v>
      </c>
      <c r="BT43" s="62" t="b">
        <v>0</v>
      </c>
      <c r="BU43" s="29" t="b">
        <v>0</v>
      </c>
      <c r="BV43" s="29" t="b">
        <v>0</v>
      </c>
      <c r="BW43" s="29" t="s">
        <v>79</v>
      </c>
      <c r="BX43" s="62" t="b">
        <v>0</v>
      </c>
      <c r="BY43" s="62" t="s">
        <v>431</v>
      </c>
    </row>
    <row r="44" spans="1:77" ht="15" customHeight="1" x14ac:dyDescent="0.2">
      <c r="A44" s="18" t="s">
        <v>668</v>
      </c>
      <c r="B44" s="133" t="s">
        <v>669</v>
      </c>
      <c r="C44" s="17" t="s">
        <v>122</v>
      </c>
      <c r="D44" s="164" t="s">
        <v>195</v>
      </c>
      <c r="E44" s="164" t="s">
        <v>195</v>
      </c>
      <c r="F44" s="63" t="s">
        <v>661</v>
      </c>
      <c r="G44" s="19" t="s">
        <v>376</v>
      </c>
      <c r="H44" s="29" t="b">
        <v>0</v>
      </c>
      <c r="I44" s="37" t="s">
        <v>79</v>
      </c>
      <c r="J44" s="17" t="s">
        <v>79</v>
      </c>
      <c r="K44" s="29" t="b">
        <v>0</v>
      </c>
      <c r="L44" s="70">
        <v>0</v>
      </c>
      <c r="M44" s="19">
        <v>100</v>
      </c>
      <c r="N44" s="29">
        <v>0</v>
      </c>
      <c r="O44" s="29">
        <v>0</v>
      </c>
      <c r="P44" s="29">
        <v>0</v>
      </c>
      <c r="Q44" s="29">
        <v>0</v>
      </c>
      <c r="R44" s="31">
        <v>0.93900000000000006</v>
      </c>
      <c r="S44" s="31">
        <v>0.45</v>
      </c>
      <c r="T44" s="72">
        <v>6.0999999999999999E-2</v>
      </c>
      <c r="U44" s="29">
        <v>0</v>
      </c>
      <c r="V44" s="29">
        <v>0</v>
      </c>
      <c r="W44" s="75">
        <v>1</v>
      </c>
      <c r="X44" s="29">
        <v>0</v>
      </c>
      <c r="Y44" s="29">
        <v>0</v>
      </c>
      <c r="Z44" s="29">
        <v>0</v>
      </c>
      <c r="AA44" s="29">
        <v>0</v>
      </c>
      <c r="AB44" s="134">
        <v>23.460899999999999</v>
      </c>
      <c r="AC44" s="134">
        <v>5.4942000000000002</v>
      </c>
      <c r="AD44" s="29" t="s">
        <v>568</v>
      </c>
      <c r="AE44" s="53">
        <v>3.2841</v>
      </c>
      <c r="AF44" s="53">
        <v>139.29750000000001</v>
      </c>
      <c r="AG44" s="53">
        <v>139.29750000000001</v>
      </c>
      <c r="AH44" s="31">
        <v>0.3</v>
      </c>
      <c r="AI44" s="31">
        <v>0.24</v>
      </c>
      <c r="AJ44" s="29">
        <v>0.18</v>
      </c>
      <c r="AK44" s="29">
        <v>0.15</v>
      </c>
      <c r="AL44" s="62">
        <v>15</v>
      </c>
      <c r="AM44" s="135">
        <v>14</v>
      </c>
      <c r="AN44" s="31">
        <v>0.14000000000000001</v>
      </c>
      <c r="AO44" s="31">
        <v>1</v>
      </c>
      <c r="AP44" s="31">
        <v>1</v>
      </c>
      <c r="AQ44" s="31">
        <v>0.70000000000000007</v>
      </c>
      <c r="AR44" s="31">
        <v>1</v>
      </c>
      <c r="AS44" s="130">
        <v>73.959999999999994</v>
      </c>
      <c r="AT44" s="29">
        <v>0</v>
      </c>
      <c r="AU44" s="29">
        <v>0</v>
      </c>
      <c r="AV44" s="71">
        <v>1.0354399999999999</v>
      </c>
      <c r="AW44" s="71">
        <v>0</v>
      </c>
      <c r="AX44" s="71">
        <v>0</v>
      </c>
      <c r="AY44" s="71">
        <v>0</v>
      </c>
      <c r="AZ44" s="19">
        <v>0.87</v>
      </c>
      <c r="BA44" s="65">
        <v>5.29</v>
      </c>
      <c r="BB44" s="29" t="b">
        <v>0</v>
      </c>
      <c r="BC44" s="29" t="b">
        <v>0</v>
      </c>
      <c r="BD44" s="29" t="s">
        <v>79</v>
      </c>
      <c r="BE44" s="29" t="b">
        <v>0</v>
      </c>
      <c r="BF44" s="29" t="b">
        <v>0</v>
      </c>
      <c r="BG44" s="62" t="b">
        <v>0</v>
      </c>
      <c r="BH44" s="30">
        <v>0.93900000000000006</v>
      </c>
      <c r="BI44" s="29" t="b">
        <v>0</v>
      </c>
      <c r="BJ44" s="62" t="s">
        <v>392</v>
      </c>
      <c r="BK44" s="29" t="b">
        <v>0</v>
      </c>
      <c r="BL44" s="29" t="b">
        <v>0</v>
      </c>
      <c r="BM44" s="29">
        <v>0</v>
      </c>
      <c r="BN44" s="29">
        <v>0</v>
      </c>
      <c r="BO44" s="29">
        <v>0</v>
      </c>
      <c r="BP44" s="29">
        <v>0</v>
      </c>
      <c r="BQ44" s="29" t="b">
        <v>0</v>
      </c>
      <c r="BR44" s="29">
        <v>0</v>
      </c>
      <c r="BS44" s="53">
        <v>0</v>
      </c>
      <c r="BT44" s="62" t="b">
        <v>0</v>
      </c>
      <c r="BU44" s="29" t="b">
        <v>0</v>
      </c>
      <c r="BV44" s="29" t="b">
        <v>0</v>
      </c>
      <c r="BW44" s="29" t="s">
        <v>79</v>
      </c>
      <c r="BX44" s="62" t="b">
        <v>0</v>
      </c>
      <c r="BY44" s="62" t="s">
        <v>431</v>
      </c>
    </row>
    <row r="45" spans="1:77" ht="15" customHeight="1" x14ac:dyDescent="0.2">
      <c r="A45" s="18" t="s">
        <v>670</v>
      </c>
      <c r="B45" s="133" t="s">
        <v>671</v>
      </c>
      <c r="C45" s="17" t="s">
        <v>122</v>
      </c>
      <c r="D45" s="164" t="s">
        <v>195</v>
      </c>
      <c r="E45" s="164" t="s">
        <v>195</v>
      </c>
      <c r="F45" s="63" t="s">
        <v>661</v>
      </c>
      <c r="G45" s="19" t="s">
        <v>376</v>
      </c>
      <c r="H45" s="29" t="b">
        <v>0</v>
      </c>
      <c r="I45" s="37" t="s">
        <v>79</v>
      </c>
      <c r="J45" s="17" t="s">
        <v>79</v>
      </c>
      <c r="K45" s="29" t="b">
        <v>0</v>
      </c>
      <c r="L45" s="70">
        <v>0</v>
      </c>
      <c r="M45" s="19">
        <v>100</v>
      </c>
      <c r="N45" s="29">
        <v>0</v>
      </c>
      <c r="O45" s="29">
        <v>0</v>
      </c>
      <c r="P45" s="29">
        <v>0</v>
      </c>
      <c r="Q45" s="29">
        <v>0</v>
      </c>
      <c r="R45" s="31">
        <v>0.93900000000000006</v>
      </c>
      <c r="S45" s="31">
        <v>0.45</v>
      </c>
      <c r="T45" s="72">
        <v>6.0999999999999999E-2</v>
      </c>
      <c r="U45" s="29">
        <v>0</v>
      </c>
      <c r="V45" s="29">
        <v>0</v>
      </c>
      <c r="W45" s="75">
        <v>1</v>
      </c>
      <c r="X45" s="29">
        <v>0</v>
      </c>
      <c r="Y45" s="29">
        <v>0</v>
      </c>
      <c r="Z45" s="29">
        <v>0</v>
      </c>
      <c r="AA45" s="29">
        <v>0</v>
      </c>
      <c r="AB45" s="134">
        <v>23.274000000000001</v>
      </c>
      <c r="AC45" s="134">
        <v>2.4316</v>
      </c>
      <c r="AD45" s="29" t="s">
        <v>568</v>
      </c>
      <c r="AE45" s="53">
        <v>3.2841</v>
      </c>
      <c r="AF45" s="53">
        <v>139.29750000000001</v>
      </c>
      <c r="AG45" s="53">
        <v>139.29750000000001</v>
      </c>
      <c r="AH45" s="31">
        <v>0.3</v>
      </c>
      <c r="AI45" s="31">
        <v>0.24</v>
      </c>
      <c r="AJ45" s="29">
        <v>0.18</v>
      </c>
      <c r="AK45" s="29">
        <v>0.15</v>
      </c>
      <c r="AL45" s="62">
        <v>15</v>
      </c>
      <c r="AM45" s="135">
        <v>15</v>
      </c>
      <c r="AN45" s="31">
        <v>0.14000000000000001</v>
      </c>
      <c r="AO45" s="31">
        <v>1</v>
      </c>
      <c r="AP45" s="31">
        <v>1</v>
      </c>
      <c r="AQ45" s="31">
        <v>0.70000000000000007</v>
      </c>
      <c r="AR45" s="31">
        <v>1</v>
      </c>
      <c r="AS45" s="130">
        <v>73.959999999999994</v>
      </c>
      <c r="AT45" s="29">
        <v>0</v>
      </c>
      <c r="AU45" s="29">
        <v>0</v>
      </c>
      <c r="AV45" s="71">
        <v>1.1093999999999999</v>
      </c>
      <c r="AW45" s="71">
        <v>0</v>
      </c>
      <c r="AX45" s="71">
        <v>0</v>
      </c>
      <c r="AY45" s="71">
        <v>0</v>
      </c>
      <c r="AZ45" s="19">
        <v>0.87</v>
      </c>
      <c r="BA45" s="65">
        <v>5.29</v>
      </c>
      <c r="BB45" s="29" t="b">
        <v>0</v>
      </c>
      <c r="BC45" s="29" t="b">
        <v>0</v>
      </c>
      <c r="BD45" s="29" t="s">
        <v>79</v>
      </c>
      <c r="BE45" s="29" t="b">
        <v>0</v>
      </c>
      <c r="BF45" s="29" t="b">
        <v>0</v>
      </c>
      <c r="BG45" s="62" t="b">
        <v>0</v>
      </c>
      <c r="BH45" s="30">
        <v>0.93900000000000006</v>
      </c>
      <c r="BI45" s="29" t="b">
        <v>0</v>
      </c>
      <c r="BJ45" s="62" t="s">
        <v>392</v>
      </c>
      <c r="BK45" s="29" t="b">
        <v>0</v>
      </c>
      <c r="BL45" s="29" t="b">
        <v>0</v>
      </c>
      <c r="BM45" s="29">
        <v>0</v>
      </c>
      <c r="BN45" s="29">
        <v>0</v>
      </c>
      <c r="BO45" s="29">
        <v>0</v>
      </c>
      <c r="BP45" s="29">
        <v>0</v>
      </c>
      <c r="BQ45" s="29" t="b">
        <v>0</v>
      </c>
      <c r="BR45" s="29">
        <v>0</v>
      </c>
      <c r="BS45" s="53">
        <v>0</v>
      </c>
      <c r="BT45" s="62" t="b">
        <v>0</v>
      </c>
      <c r="BU45" s="29" t="b">
        <v>0</v>
      </c>
      <c r="BV45" s="29" t="b">
        <v>0</v>
      </c>
      <c r="BW45" s="29" t="s">
        <v>79</v>
      </c>
      <c r="BX45" s="62" t="b">
        <v>0</v>
      </c>
      <c r="BY45" s="62" t="s">
        <v>431</v>
      </c>
    </row>
    <row r="46" spans="1:77" ht="15" customHeight="1" x14ac:dyDescent="0.2">
      <c r="A46" s="18" t="s">
        <v>672</v>
      </c>
      <c r="B46" s="133" t="s">
        <v>673</v>
      </c>
      <c r="C46" s="17" t="s">
        <v>122</v>
      </c>
      <c r="D46" s="164" t="s">
        <v>195</v>
      </c>
      <c r="E46" s="164" t="s">
        <v>195</v>
      </c>
      <c r="F46" s="63" t="s">
        <v>661</v>
      </c>
      <c r="G46" s="19" t="s">
        <v>376</v>
      </c>
      <c r="H46" s="29" t="b">
        <v>0</v>
      </c>
      <c r="I46" s="37" t="s">
        <v>79</v>
      </c>
      <c r="J46" s="17" t="s">
        <v>79</v>
      </c>
      <c r="K46" s="29" t="b">
        <v>0</v>
      </c>
      <c r="L46" s="70">
        <v>0</v>
      </c>
      <c r="M46" s="19">
        <v>100</v>
      </c>
      <c r="N46" s="29">
        <v>0</v>
      </c>
      <c r="O46" s="29">
        <v>0</v>
      </c>
      <c r="P46" s="29">
        <v>0</v>
      </c>
      <c r="Q46" s="29">
        <v>0</v>
      </c>
      <c r="R46" s="31">
        <v>0.93900000000000006</v>
      </c>
      <c r="S46" s="31">
        <v>0.45</v>
      </c>
      <c r="T46" s="72">
        <v>6.0999999999999999E-2</v>
      </c>
      <c r="U46" s="29">
        <v>0</v>
      </c>
      <c r="V46" s="29">
        <v>0</v>
      </c>
      <c r="W46" s="75">
        <v>1</v>
      </c>
      <c r="X46" s="29">
        <v>0</v>
      </c>
      <c r="Y46" s="29">
        <v>0</v>
      </c>
      <c r="Z46" s="29">
        <v>0</v>
      </c>
      <c r="AA46" s="29">
        <v>0</v>
      </c>
      <c r="AB46" s="134">
        <v>13.7326</v>
      </c>
      <c r="AC46" s="134">
        <v>6.8861999999999997</v>
      </c>
      <c r="AD46" s="29" t="s">
        <v>568</v>
      </c>
      <c r="AE46" s="53">
        <v>3.2841</v>
      </c>
      <c r="AF46" s="53">
        <v>139.29750000000001</v>
      </c>
      <c r="AG46" s="53">
        <v>139.29750000000001</v>
      </c>
      <c r="AH46" s="31">
        <v>0.3</v>
      </c>
      <c r="AI46" s="31">
        <v>0.24</v>
      </c>
      <c r="AJ46" s="29">
        <v>0.18</v>
      </c>
      <c r="AK46" s="29">
        <v>0.15</v>
      </c>
      <c r="AL46" s="62">
        <v>15</v>
      </c>
      <c r="AM46" s="135">
        <v>16</v>
      </c>
      <c r="AN46" s="31">
        <v>0.14000000000000001</v>
      </c>
      <c r="AO46" s="31">
        <v>1</v>
      </c>
      <c r="AP46" s="31">
        <v>1</v>
      </c>
      <c r="AQ46" s="31">
        <v>0.70000000000000007</v>
      </c>
      <c r="AR46" s="31">
        <v>1</v>
      </c>
      <c r="AS46" s="130">
        <v>73.959999999999994</v>
      </c>
      <c r="AT46" s="29">
        <v>0</v>
      </c>
      <c r="AU46" s="29">
        <v>0</v>
      </c>
      <c r="AV46" s="71">
        <v>1.18336</v>
      </c>
      <c r="AW46" s="71">
        <v>0</v>
      </c>
      <c r="AX46" s="71">
        <v>0</v>
      </c>
      <c r="AY46" s="71">
        <v>0</v>
      </c>
      <c r="AZ46" s="19">
        <v>0.87</v>
      </c>
      <c r="BA46" s="65">
        <v>5.29</v>
      </c>
      <c r="BB46" s="29" t="b">
        <v>0</v>
      </c>
      <c r="BC46" s="29" t="b">
        <v>0</v>
      </c>
      <c r="BD46" s="29" t="s">
        <v>79</v>
      </c>
      <c r="BE46" s="29" t="b">
        <v>0</v>
      </c>
      <c r="BF46" s="29" t="b">
        <v>0</v>
      </c>
      <c r="BG46" s="62" t="b">
        <v>0</v>
      </c>
      <c r="BH46" s="30">
        <v>0.93900000000000006</v>
      </c>
      <c r="BI46" s="29" t="b">
        <v>0</v>
      </c>
      <c r="BJ46" s="62" t="s">
        <v>392</v>
      </c>
      <c r="BK46" s="29" t="b">
        <v>0</v>
      </c>
      <c r="BL46" s="29" t="b">
        <v>0</v>
      </c>
      <c r="BM46" s="29">
        <v>0</v>
      </c>
      <c r="BN46" s="29">
        <v>0</v>
      </c>
      <c r="BO46" s="29">
        <v>0</v>
      </c>
      <c r="BP46" s="29">
        <v>0</v>
      </c>
      <c r="BQ46" s="29" t="b">
        <v>0</v>
      </c>
      <c r="BR46" s="29">
        <v>0</v>
      </c>
      <c r="BS46" s="53">
        <v>0</v>
      </c>
      <c r="BT46" s="62" t="b">
        <v>0</v>
      </c>
      <c r="BU46" s="29" t="b">
        <v>0</v>
      </c>
      <c r="BV46" s="29" t="b">
        <v>0</v>
      </c>
      <c r="BW46" s="29" t="s">
        <v>79</v>
      </c>
      <c r="BX46" s="62" t="b">
        <v>0</v>
      </c>
      <c r="BY46" s="62" t="s">
        <v>431</v>
      </c>
    </row>
    <row r="47" spans="1:77" ht="15" customHeight="1" x14ac:dyDescent="0.2">
      <c r="A47" s="18" t="s">
        <v>674</v>
      </c>
      <c r="B47" s="133" t="s">
        <v>675</v>
      </c>
      <c r="C47" s="17" t="s">
        <v>122</v>
      </c>
      <c r="D47" s="164" t="s">
        <v>195</v>
      </c>
      <c r="E47" s="164" t="s">
        <v>195</v>
      </c>
      <c r="F47" s="63" t="s">
        <v>661</v>
      </c>
      <c r="G47" s="19" t="s">
        <v>376</v>
      </c>
      <c r="H47" s="29" t="b">
        <v>0</v>
      </c>
      <c r="I47" s="37" t="s">
        <v>79</v>
      </c>
      <c r="J47" s="17" t="s">
        <v>79</v>
      </c>
      <c r="K47" s="29" t="b">
        <v>0</v>
      </c>
      <c r="L47" s="70">
        <v>0</v>
      </c>
      <c r="M47" s="19">
        <v>100</v>
      </c>
      <c r="N47" s="29">
        <v>0</v>
      </c>
      <c r="O47" s="29">
        <v>0</v>
      </c>
      <c r="P47" s="29">
        <v>0</v>
      </c>
      <c r="Q47" s="29">
        <v>0</v>
      </c>
      <c r="R47" s="31">
        <v>0.93900000000000006</v>
      </c>
      <c r="S47" s="31">
        <v>0.45</v>
      </c>
      <c r="T47" s="72">
        <v>6.0999999999999999E-2</v>
      </c>
      <c r="U47" s="29">
        <v>0</v>
      </c>
      <c r="V47" s="29">
        <v>0</v>
      </c>
      <c r="W47" s="75">
        <v>1</v>
      </c>
      <c r="X47" s="29">
        <v>0</v>
      </c>
      <c r="Y47" s="29">
        <v>0</v>
      </c>
      <c r="Z47" s="29">
        <v>0</v>
      </c>
      <c r="AA47" s="29">
        <v>0</v>
      </c>
      <c r="AB47" s="134">
        <v>11.1151</v>
      </c>
      <c r="AC47" s="134">
        <v>6.7313000000000001</v>
      </c>
      <c r="AD47" s="29" t="s">
        <v>568</v>
      </c>
      <c r="AE47" s="53">
        <v>3.2841</v>
      </c>
      <c r="AF47" s="53">
        <v>139.29750000000001</v>
      </c>
      <c r="AG47" s="53">
        <v>139.29750000000001</v>
      </c>
      <c r="AH47" s="31">
        <v>0.3</v>
      </c>
      <c r="AI47" s="31">
        <v>0.24</v>
      </c>
      <c r="AJ47" s="29">
        <v>0.18</v>
      </c>
      <c r="AK47" s="29">
        <v>0.15</v>
      </c>
      <c r="AL47" s="62">
        <v>15</v>
      </c>
      <c r="AM47" s="135">
        <v>17</v>
      </c>
      <c r="AN47" s="31">
        <v>0.14000000000000001</v>
      </c>
      <c r="AO47" s="31">
        <v>1</v>
      </c>
      <c r="AP47" s="31">
        <v>1</v>
      </c>
      <c r="AQ47" s="31">
        <v>0.70000000000000007</v>
      </c>
      <c r="AR47" s="31">
        <v>1</v>
      </c>
      <c r="AS47" s="130">
        <v>73.959999999999994</v>
      </c>
      <c r="AT47" s="29">
        <v>0</v>
      </c>
      <c r="AU47" s="29">
        <v>0</v>
      </c>
      <c r="AV47" s="71">
        <v>1.25732</v>
      </c>
      <c r="AW47" s="71">
        <v>0</v>
      </c>
      <c r="AX47" s="71">
        <v>0</v>
      </c>
      <c r="AY47" s="71">
        <v>0</v>
      </c>
      <c r="AZ47" s="19">
        <v>0.87</v>
      </c>
      <c r="BA47" s="65">
        <v>5.29</v>
      </c>
      <c r="BB47" s="29" t="b">
        <v>0</v>
      </c>
      <c r="BC47" s="29" t="b">
        <v>0</v>
      </c>
      <c r="BD47" s="29" t="s">
        <v>79</v>
      </c>
      <c r="BE47" s="29" t="b">
        <v>0</v>
      </c>
      <c r="BF47" s="29" t="b">
        <v>0</v>
      </c>
      <c r="BG47" s="62" t="b">
        <v>0</v>
      </c>
      <c r="BH47" s="30">
        <v>0.93900000000000006</v>
      </c>
      <c r="BI47" s="29" t="b">
        <v>0</v>
      </c>
      <c r="BJ47" s="62" t="s">
        <v>392</v>
      </c>
      <c r="BK47" s="29" t="b">
        <v>0</v>
      </c>
      <c r="BL47" s="29" t="b">
        <v>0</v>
      </c>
      <c r="BM47" s="29">
        <v>0</v>
      </c>
      <c r="BN47" s="29">
        <v>0</v>
      </c>
      <c r="BO47" s="29">
        <v>0</v>
      </c>
      <c r="BP47" s="29">
        <v>0</v>
      </c>
      <c r="BQ47" s="29" t="b">
        <v>0</v>
      </c>
      <c r="BR47" s="29">
        <v>0</v>
      </c>
      <c r="BS47" s="53">
        <v>0</v>
      </c>
      <c r="BT47" s="62" t="b">
        <v>0</v>
      </c>
      <c r="BU47" s="29" t="b">
        <v>0</v>
      </c>
      <c r="BV47" s="29" t="b">
        <v>0</v>
      </c>
      <c r="BW47" s="29" t="s">
        <v>79</v>
      </c>
      <c r="BX47" s="62" t="b">
        <v>0</v>
      </c>
      <c r="BY47" s="62" t="s">
        <v>431</v>
      </c>
    </row>
    <row r="48" spans="1:77" ht="15" customHeight="1" x14ac:dyDescent="0.2">
      <c r="A48" s="18" t="s">
        <v>676</v>
      </c>
      <c r="B48" s="133" t="s">
        <v>677</v>
      </c>
      <c r="C48" s="17" t="s">
        <v>122</v>
      </c>
      <c r="D48" s="164" t="s">
        <v>195</v>
      </c>
      <c r="E48" s="164" t="s">
        <v>195</v>
      </c>
      <c r="F48" s="63" t="s">
        <v>661</v>
      </c>
      <c r="G48" s="19" t="s">
        <v>376</v>
      </c>
      <c r="H48" s="29" t="b">
        <v>0</v>
      </c>
      <c r="I48" s="37" t="s">
        <v>79</v>
      </c>
      <c r="J48" s="17" t="s">
        <v>79</v>
      </c>
      <c r="K48" s="29" t="b">
        <v>0</v>
      </c>
      <c r="L48" s="70">
        <v>0</v>
      </c>
      <c r="M48" s="19">
        <v>100</v>
      </c>
      <c r="N48" s="29">
        <v>0</v>
      </c>
      <c r="O48" s="29">
        <v>0</v>
      </c>
      <c r="P48" s="29">
        <v>0</v>
      </c>
      <c r="Q48" s="29">
        <v>0</v>
      </c>
      <c r="R48" s="31">
        <v>0.93900000000000006</v>
      </c>
      <c r="S48" s="31">
        <v>0.45</v>
      </c>
      <c r="T48" s="72">
        <v>6.0999999999999999E-2</v>
      </c>
      <c r="U48" s="29">
        <v>0</v>
      </c>
      <c r="V48" s="29">
        <v>0</v>
      </c>
      <c r="W48" s="75">
        <v>1</v>
      </c>
      <c r="X48" s="29">
        <v>0</v>
      </c>
      <c r="Y48" s="29">
        <v>0</v>
      </c>
      <c r="Z48" s="29">
        <v>0</v>
      </c>
      <c r="AA48" s="29">
        <v>0</v>
      </c>
      <c r="AB48" s="134">
        <v>11.4292</v>
      </c>
      <c r="AC48" s="134">
        <v>3.0198</v>
      </c>
      <c r="AD48" s="29" t="s">
        <v>568</v>
      </c>
      <c r="AE48" s="53">
        <v>3.2841</v>
      </c>
      <c r="AF48" s="53">
        <v>139.29750000000001</v>
      </c>
      <c r="AG48" s="53">
        <v>139.29750000000001</v>
      </c>
      <c r="AH48" s="31">
        <v>0.3</v>
      </c>
      <c r="AI48" s="31">
        <v>0.24</v>
      </c>
      <c r="AJ48" s="29">
        <v>0.18</v>
      </c>
      <c r="AK48" s="29">
        <v>0.15</v>
      </c>
      <c r="AL48" s="62">
        <v>15</v>
      </c>
      <c r="AM48" s="135">
        <v>18</v>
      </c>
      <c r="AN48" s="31">
        <v>0.14000000000000001</v>
      </c>
      <c r="AO48" s="31">
        <v>1</v>
      </c>
      <c r="AP48" s="31">
        <v>1</v>
      </c>
      <c r="AQ48" s="31">
        <v>0.70000000000000007</v>
      </c>
      <c r="AR48" s="31">
        <v>1</v>
      </c>
      <c r="AS48" s="130">
        <v>73.959999999999994</v>
      </c>
      <c r="AT48" s="29">
        <v>0</v>
      </c>
      <c r="AU48" s="29">
        <v>0</v>
      </c>
      <c r="AV48" s="71">
        <v>1.33128</v>
      </c>
      <c r="AW48" s="71">
        <v>0</v>
      </c>
      <c r="AX48" s="71">
        <v>0</v>
      </c>
      <c r="AY48" s="71">
        <v>0</v>
      </c>
      <c r="AZ48" s="19">
        <v>0.87</v>
      </c>
      <c r="BA48" s="65">
        <v>5.29</v>
      </c>
      <c r="BB48" s="29" t="b">
        <v>0</v>
      </c>
      <c r="BC48" s="29" t="b">
        <v>0</v>
      </c>
      <c r="BD48" s="29" t="s">
        <v>79</v>
      </c>
      <c r="BE48" s="29" t="b">
        <v>0</v>
      </c>
      <c r="BF48" s="29" t="b">
        <v>0</v>
      </c>
      <c r="BG48" s="62" t="b">
        <v>0</v>
      </c>
      <c r="BH48" s="30">
        <v>0.93900000000000006</v>
      </c>
      <c r="BI48" s="29" t="b">
        <v>0</v>
      </c>
      <c r="BJ48" s="62" t="s">
        <v>392</v>
      </c>
      <c r="BK48" s="29" t="b">
        <v>0</v>
      </c>
      <c r="BL48" s="29" t="b">
        <v>0</v>
      </c>
      <c r="BM48" s="29">
        <v>0</v>
      </c>
      <c r="BN48" s="29">
        <v>0</v>
      </c>
      <c r="BO48" s="29">
        <v>0</v>
      </c>
      <c r="BP48" s="29">
        <v>0</v>
      </c>
      <c r="BQ48" s="29" t="b">
        <v>0</v>
      </c>
      <c r="BR48" s="29">
        <v>0</v>
      </c>
      <c r="BS48" s="53">
        <v>0</v>
      </c>
      <c r="BT48" s="62" t="b">
        <v>0</v>
      </c>
      <c r="BU48" s="29" t="b">
        <v>0</v>
      </c>
      <c r="BV48" s="29" t="b">
        <v>0</v>
      </c>
      <c r="BW48" s="29" t="s">
        <v>79</v>
      </c>
      <c r="BX48" s="62" t="b">
        <v>0</v>
      </c>
      <c r="BY48" s="62" t="s">
        <v>431</v>
      </c>
    </row>
    <row r="49" spans="1:77" ht="15" customHeight="1" x14ac:dyDescent="0.2">
      <c r="A49" s="18" t="s">
        <v>678</v>
      </c>
      <c r="B49" s="133" t="s">
        <v>679</v>
      </c>
      <c r="C49" s="17" t="s">
        <v>122</v>
      </c>
      <c r="D49" s="164" t="s">
        <v>195</v>
      </c>
      <c r="E49" s="164" t="s">
        <v>195</v>
      </c>
      <c r="F49" s="63" t="s">
        <v>661</v>
      </c>
      <c r="G49" s="19" t="s">
        <v>376</v>
      </c>
      <c r="H49" s="29" t="b">
        <v>0</v>
      </c>
      <c r="I49" s="37" t="s">
        <v>79</v>
      </c>
      <c r="J49" s="17" t="s">
        <v>79</v>
      </c>
      <c r="K49" s="29" t="b">
        <v>0</v>
      </c>
      <c r="L49" s="70">
        <v>0</v>
      </c>
      <c r="M49" s="19">
        <v>100</v>
      </c>
      <c r="N49" s="29">
        <v>0</v>
      </c>
      <c r="O49" s="29">
        <v>0</v>
      </c>
      <c r="P49" s="29">
        <v>0</v>
      </c>
      <c r="Q49" s="29">
        <v>0</v>
      </c>
      <c r="R49" s="31">
        <v>0.93900000000000006</v>
      </c>
      <c r="S49" s="31">
        <v>0.45</v>
      </c>
      <c r="T49" s="72">
        <v>6.0999999999999999E-2</v>
      </c>
      <c r="U49" s="29">
        <v>0</v>
      </c>
      <c r="V49" s="29">
        <v>0</v>
      </c>
      <c r="W49" s="75">
        <v>1</v>
      </c>
      <c r="X49" s="29">
        <v>0</v>
      </c>
      <c r="Y49" s="29">
        <v>0</v>
      </c>
      <c r="Z49" s="29">
        <v>0</v>
      </c>
      <c r="AA49" s="29">
        <v>0</v>
      </c>
      <c r="AB49" s="134">
        <v>8.9425000000000008</v>
      </c>
      <c r="AC49" s="134">
        <v>8.0543999999999993</v>
      </c>
      <c r="AD49" s="29" t="s">
        <v>568</v>
      </c>
      <c r="AE49" s="53">
        <v>3.2841</v>
      </c>
      <c r="AF49" s="53">
        <v>139.29750000000001</v>
      </c>
      <c r="AG49" s="53">
        <v>139.29750000000001</v>
      </c>
      <c r="AH49" s="31">
        <v>0.3</v>
      </c>
      <c r="AI49" s="31">
        <v>0.24</v>
      </c>
      <c r="AJ49" s="29">
        <v>0.18</v>
      </c>
      <c r="AK49" s="29">
        <v>0.15</v>
      </c>
      <c r="AL49" s="62">
        <v>15</v>
      </c>
      <c r="AM49" s="135">
        <v>19</v>
      </c>
      <c r="AN49" s="31">
        <v>0.14000000000000001</v>
      </c>
      <c r="AO49" s="31">
        <v>1</v>
      </c>
      <c r="AP49" s="31">
        <v>1</v>
      </c>
      <c r="AQ49" s="31">
        <v>0.70000000000000007</v>
      </c>
      <c r="AR49" s="31">
        <v>1</v>
      </c>
      <c r="AS49" s="130">
        <v>73.959999999999994</v>
      </c>
      <c r="AT49" s="29">
        <v>0</v>
      </c>
      <c r="AU49" s="29">
        <v>0</v>
      </c>
      <c r="AV49" s="71">
        <v>1.40524</v>
      </c>
      <c r="AW49" s="71">
        <v>0</v>
      </c>
      <c r="AX49" s="71">
        <v>0</v>
      </c>
      <c r="AY49" s="71">
        <v>0</v>
      </c>
      <c r="AZ49" s="19">
        <v>0.87</v>
      </c>
      <c r="BA49" s="65">
        <v>5.29</v>
      </c>
      <c r="BB49" s="29" t="b">
        <v>0</v>
      </c>
      <c r="BC49" s="29" t="b">
        <v>0</v>
      </c>
      <c r="BD49" s="29" t="s">
        <v>79</v>
      </c>
      <c r="BE49" s="29" t="b">
        <v>0</v>
      </c>
      <c r="BF49" s="29" t="b">
        <v>0</v>
      </c>
      <c r="BG49" s="62" t="b">
        <v>0</v>
      </c>
      <c r="BH49" s="30">
        <v>0.93900000000000006</v>
      </c>
      <c r="BI49" s="29" t="b">
        <v>0</v>
      </c>
      <c r="BJ49" s="62" t="s">
        <v>392</v>
      </c>
      <c r="BK49" s="29" t="b">
        <v>0</v>
      </c>
      <c r="BL49" s="29" t="b">
        <v>0</v>
      </c>
      <c r="BM49" s="29">
        <v>0</v>
      </c>
      <c r="BN49" s="29">
        <v>0</v>
      </c>
      <c r="BO49" s="29">
        <v>0</v>
      </c>
      <c r="BP49" s="29">
        <v>0</v>
      </c>
      <c r="BQ49" s="29" t="b">
        <v>0</v>
      </c>
      <c r="BR49" s="29">
        <v>0</v>
      </c>
      <c r="BS49" s="53">
        <v>0</v>
      </c>
      <c r="BT49" s="62" t="b">
        <v>0</v>
      </c>
      <c r="BU49" s="29" t="b">
        <v>0</v>
      </c>
      <c r="BV49" s="29" t="b">
        <v>0</v>
      </c>
      <c r="BW49" s="29" t="s">
        <v>79</v>
      </c>
      <c r="BX49" s="62" t="b">
        <v>0</v>
      </c>
      <c r="BY49" s="62" t="s">
        <v>431</v>
      </c>
    </row>
    <row r="50" spans="1:77" ht="15" customHeight="1" x14ac:dyDescent="0.2">
      <c r="A50" s="18" t="s">
        <v>680</v>
      </c>
      <c r="B50" s="133" t="s">
        <v>681</v>
      </c>
      <c r="C50" s="17" t="s">
        <v>122</v>
      </c>
      <c r="D50" s="164" t="s">
        <v>195</v>
      </c>
      <c r="E50" s="164" t="s">
        <v>195</v>
      </c>
      <c r="F50" s="63" t="s">
        <v>661</v>
      </c>
      <c r="G50" s="19" t="s">
        <v>376</v>
      </c>
      <c r="H50" s="29" t="b">
        <v>0</v>
      </c>
      <c r="I50" s="37" t="s">
        <v>79</v>
      </c>
      <c r="J50" s="17" t="s">
        <v>79</v>
      </c>
      <c r="K50" s="29" t="b">
        <v>0</v>
      </c>
      <c r="L50" s="70">
        <v>0</v>
      </c>
      <c r="M50" s="19">
        <v>100</v>
      </c>
      <c r="N50" s="29">
        <v>0</v>
      </c>
      <c r="O50" s="29">
        <v>0</v>
      </c>
      <c r="P50" s="29">
        <v>0</v>
      </c>
      <c r="Q50" s="29">
        <v>0</v>
      </c>
      <c r="R50" s="31">
        <v>0.93900000000000006</v>
      </c>
      <c r="S50" s="31">
        <v>0.45</v>
      </c>
      <c r="T50" s="72">
        <v>6.0999999999999999E-2</v>
      </c>
      <c r="U50" s="29">
        <v>0</v>
      </c>
      <c r="V50" s="29">
        <v>0</v>
      </c>
      <c r="W50" s="75">
        <v>1</v>
      </c>
      <c r="X50" s="29">
        <v>0</v>
      </c>
      <c r="Y50" s="29">
        <v>0</v>
      </c>
      <c r="Z50" s="29">
        <v>0</v>
      </c>
      <c r="AA50" s="29">
        <v>0</v>
      </c>
      <c r="AB50" s="134">
        <v>6.1360999999999999</v>
      </c>
      <c r="AC50" s="134">
        <v>1.9157</v>
      </c>
      <c r="AD50" s="29" t="s">
        <v>568</v>
      </c>
      <c r="AE50" s="53">
        <v>3.2841</v>
      </c>
      <c r="AF50" s="53">
        <v>139.29750000000001</v>
      </c>
      <c r="AG50" s="53">
        <v>139.29750000000001</v>
      </c>
      <c r="AH50" s="31">
        <v>0.3</v>
      </c>
      <c r="AI50" s="31">
        <v>0.24</v>
      </c>
      <c r="AJ50" s="29">
        <v>0.18</v>
      </c>
      <c r="AK50" s="29">
        <v>0.15</v>
      </c>
      <c r="AL50" s="62">
        <v>15</v>
      </c>
      <c r="AM50" s="135">
        <v>20</v>
      </c>
      <c r="AN50" s="31">
        <v>0.14000000000000001</v>
      </c>
      <c r="AO50" s="31">
        <v>1</v>
      </c>
      <c r="AP50" s="31">
        <v>1</v>
      </c>
      <c r="AQ50" s="31">
        <v>0.70000000000000007</v>
      </c>
      <c r="AR50" s="31">
        <v>1</v>
      </c>
      <c r="AS50" s="130">
        <v>73.959999999999994</v>
      </c>
      <c r="AT50" s="29">
        <v>0</v>
      </c>
      <c r="AU50" s="29">
        <v>0</v>
      </c>
      <c r="AV50" s="71">
        <v>1.4792000000000001</v>
      </c>
      <c r="AW50" s="71">
        <v>0</v>
      </c>
      <c r="AX50" s="71">
        <v>0</v>
      </c>
      <c r="AY50" s="71">
        <v>0</v>
      </c>
      <c r="AZ50" s="19">
        <v>0.87</v>
      </c>
      <c r="BA50" s="65">
        <v>5.29</v>
      </c>
      <c r="BB50" s="29" t="b">
        <v>0</v>
      </c>
      <c r="BC50" s="29" t="b">
        <v>0</v>
      </c>
      <c r="BD50" s="29" t="s">
        <v>79</v>
      </c>
      <c r="BE50" s="29" t="b">
        <v>0</v>
      </c>
      <c r="BF50" s="29" t="b">
        <v>0</v>
      </c>
      <c r="BG50" s="62" t="b">
        <v>0</v>
      </c>
      <c r="BH50" s="30">
        <v>0.93900000000000006</v>
      </c>
      <c r="BI50" s="29" t="b">
        <v>0</v>
      </c>
      <c r="BJ50" s="62" t="s">
        <v>392</v>
      </c>
      <c r="BK50" s="29" t="b">
        <v>0</v>
      </c>
      <c r="BL50" s="29" t="b">
        <v>0</v>
      </c>
      <c r="BM50" s="29">
        <v>0</v>
      </c>
      <c r="BN50" s="29">
        <v>0</v>
      </c>
      <c r="BO50" s="29">
        <v>0</v>
      </c>
      <c r="BP50" s="29">
        <v>0</v>
      </c>
      <c r="BQ50" s="29" t="b">
        <v>0</v>
      </c>
      <c r="BR50" s="29">
        <v>0</v>
      </c>
      <c r="BS50" s="53">
        <v>0</v>
      </c>
      <c r="BT50" s="62" t="b">
        <v>0</v>
      </c>
      <c r="BU50" s="29" t="b">
        <v>0</v>
      </c>
      <c r="BV50" s="29" t="b">
        <v>0</v>
      </c>
      <c r="BW50" s="29" t="s">
        <v>79</v>
      </c>
      <c r="BX50" s="62" t="b">
        <v>0</v>
      </c>
      <c r="BY50" s="62" t="s">
        <v>431</v>
      </c>
    </row>
    <row r="51" spans="1:77" ht="15" customHeight="1" x14ac:dyDescent="0.2">
      <c r="A51" s="18" t="s">
        <v>682</v>
      </c>
      <c r="B51" s="133" t="s">
        <v>683</v>
      </c>
      <c r="C51" s="17" t="s">
        <v>122</v>
      </c>
      <c r="D51" s="164" t="s">
        <v>195</v>
      </c>
      <c r="E51" s="164" t="s">
        <v>195</v>
      </c>
      <c r="F51" s="63" t="s">
        <v>661</v>
      </c>
      <c r="G51" s="19" t="s">
        <v>376</v>
      </c>
      <c r="H51" s="29" t="b">
        <v>0</v>
      </c>
      <c r="I51" s="37" t="s">
        <v>79</v>
      </c>
      <c r="J51" s="17" t="s">
        <v>79</v>
      </c>
      <c r="K51" s="29" t="b">
        <v>0</v>
      </c>
      <c r="L51" s="70">
        <v>0</v>
      </c>
      <c r="M51" s="19">
        <v>100</v>
      </c>
      <c r="N51" s="29">
        <v>0</v>
      </c>
      <c r="O51" s="29">
        <v>0</v>
      </c>
      <c r="P51" s="29">
        <v>0</v>
      </c>
      <c r="Q51" s="29">
        <v>0</v>
      </c>
      <c r="R51" s="31">
        <v>0.93900000000000006</v>
      </c>
      <c r="S51" s="31">
        <v>0.45</v>
      </c>
      <c r="T51" s="72">
        <v>6.0999999999999999E-2</v>
      </c>
      <c r="U51" s="29">
        <v>0</v>
      </c>
      <c r="V51" s="29">
        <v>0</v>
      </c>
      <c r="W51" s="75">
        <v>1</v>
      </c>
      <c r="X51" s="29">
        <v>0</v>
      </c>
      <c r="Y51" s="29">
        <v>0</v>
      </c>
      <c r="Z51" s="29">
        <v>0</v>
      </c>
      <c r="AA51" s="29">
        <v>0</v>
      </c>
      <c r="AB51" s="134">
        <v>12.7818</v>
      </c>
      <c r="AC51" s="134">
        <v>8.2030999999999992</v>
      </c>
      <c r="AD51" s="29" t="s">
        <v>568</v>
      </c>
      <c r="AE51" s="53">
        <v>3.2841</v>
      </c>
      <c r="AF51" s="53">
        <v>139.29750000000001</v>
      </c>
      <c r="AG51" s="53">
        <v>139.29750000000001</v>
      </c>
      <c r="AH51" s="31">
        <v>0.3</v>
      </c>
      <c r="AI51" s="31">
        <v>0.24</v>
      </c>
      <c r="AJ51" s="29">
        <v>0.18</v>
      </c>
      <c r="AK51" s="29">
        <v>0.15</v>
      </c>
      <c r="AL51" s="62">
        <v>15</v>
      </c>
      <c r="AM51" s="135">
        <v>21</v>
      </c>
      <c r="AN51" s="31">
        <v>0.14000000000000001</v>
      </c>
      <c r="AO51" s="31">
        <v>1</v>
      </c>
      <c r="AP51" s="31">
        <v>1</v>
      </c>
      <c r="AQ51" s="31">
        <v>0.70000000000000007</v>
      </c>
      <c r="AR51" s="31">
        <v>1</v>
      </c>
      <c r="AS51" s="130">
        <v>73.959999999999994</v>
      </c>
      <c r="AT51" s="29">
        <v>0</v>
      </c>
      <c r="AU51" s="29">
        <v>0</v>
      </c>
      <c r="AV51" s="71">
        <v>1.5531600000000001</v>
      </c>
      <c r="AW51" s="71">
        <v>0</v>
      </c>
      <c r="AX51" s="71">
        <v>0</v>
      </c>
      <c r="AY51" s="71">
        <v>0</v>
      </c>
      <c r="AZ51" s="19">
        <v>0.87</v>
      </c>
      <c r="BA51" s="65">
        <v>5.29</v>
      </c>
      <c r="BB51" s="29" t="b">
        <v>0</v>
      </c>
      <c r="BC51" s="29" t="b">
        <v>0</v>
      </c>
      <c r="BD51" s="29" t="s">
        <v>79</v>
      </c>
      <c r="BE51" s="29" t="b">
        <v>0</v>
      </c>
      <c r="BF51" s="29" t="b">
        <v>0</v>
      </c>
      <c r="BG51" s="62" t="b">
        <v>0</v>
      </c>
      <c r="BH51" s="30">
        <v>0.93900000000000006</v>
      </c>
      <c r="BI51" s="29" t="b">
        <v>0</v>
      </c>
      <c r="BJ51" s="62" t="s">
        <v>392</v>
      </c>
      <c r="BK51" s="29" t="b">
        <v>0</v>
      </c>
      <c r="BL51" s="29" t="b">
        <v>0</v>
      </c>
      <c r="BM51" s="29">
        <v>0</v>
      </c>
      <c r="BN51" s="29">
        <v>0</v>
      </c>
      <c r="BO51" s="29">
        <v>0</v>
      </c>
      <c r="BP51" s="29">
        <v>0</v>
      </c>
      <c r="BQ51" s="29" t="b">
        <v>0</v>
      </c>
      <c r="BR51" s="29">
        <v>0</v>
      </c>
      <c r="BS51" s="53">
        <v>0</v>
      </c>
      <c r="BT51" s="62" t="b">
        <v>0</v>
      </c>
      <c r="BU51" s="29" t="b">
        <v>0</v>
      </c>
      <c r="BV51" s="29" t="b">
        <v>0</v>
      </c>
      <c r="BW51" s="29" t="s">
        <v>79</v>
      </c>
      <c r="BX51" s="62" t="b">
        <v>0</v>
      </c>
      <c r="BY51" s="62" t="s">
        <v>431</v>
      </c>
    </row>
    <row r="52" spans="1:77" ht="15" customHeight="1" x14ac:dyDescent="0.2">
      <c r="A52" s="18" t="s">
        <v>684</v>
      </c>
      <c r="B52" s="133" t="s">
        <v>685</v>
      </c>
      <c r="C52" s="17" t="s">
        <v>122</v>
      </c>
      <c r="D52" s="164" t="s">
        <v>195</v>
      </c>
      <c r="E52" s="164" t="s">
        <v>195</v>
      </c>
      <c r="F52" s="63" t="s">
        <v>661</v>
      </c>
      <c r="G52" s="19" t="s">
        <v>376</v>
      </c>
      <c r="H52" s="29" t="b">
        <v>0</v>
      </c>
      <c r="I52" s="37" t="s">
        <v>79</v>
      </c>
      <c r="J52" s="17" t="s">
        <v>79</v>
      </c>
      <c r="K52" s="29" t="b">
        <v>0</v>
      </c>
      <c r="L52" s="70">
        <v>0</v>
      </c>
      <c r="M52" s="19">
        <v>10</v>
      </c>
      <c r="N52" s="29">
        <v>0</v>
      </c>
      <c r="O52" s="29">
        <v>0</v>
      </c>
      <c r="P52" s="29">
        <v>0</v>
      </c>
      <c r="Q52" s="29">
        <v>0</v>
      </c>
      <c r="R52" s="31">
        <v>0.95199999999999996</v>
      </c>
      <c r="S52" s="31">
        <v>0.39</v>
      </c>
      <c r="T52" s="72">
        <v>4.8000000000000001E-2</v>
      </c>
      <c r="U52" s="29">
        <v>0</v>
      </c>
      <c r="V52" s="29">
        <v>0</v>
      </c>
      <c r="W52" s="75">
        <v>1</v>
      </c>
      <c r="X52" s="29">
        <v>0</v>
      </c>
      <c r="Y52" s="29">
        <v>0</v>
      </c>
      <c r="Z52" s="29">
        <v>0</v>
      </c>
      <c r="AA52" s="29">
        <v>0</v>
      </c>
      <c r="AB52" s="134">
        <v>28.4483</v>
      </c>
      <c r="AC52" s="134">
        <v>13.389699999999999</v>
      </c>
      <c r="AD52" s="29" t="s">
        <v>568</v>
      </c>
      <c r="AE52" s="53">
        <v>3.2841</v>
      </c>
      <c r="AF52" s="53">
        <v>139.29750000000001</v>
      </c>
      <c r="AG52" s="53">
        <v>139.29750000000001</v>
      </c>
      <c r="AH52" s="31">
        <v>0.3</v>
      </c>
      <c r="AI52" s="31">
        <v>0.24</v>
      </c>
      <c r="AJ52" s="29">
        <v>0.18</v>
      </c>
      <c r="AK52" s="29">
        <v>0.15</v>
      </c>
      <c r="AL52" s="62">
        <v>37</v>
      </c>
      <c r="AM52" s="135">
        <v>7</v>
      </c>
      <c r="AN52" s="31">
        <v>0.14000000000000001</v>
      </c>
      <c r="AO52" s="31">
        <v>1</v>
      </c>
      <c r="AP52" s="31">
        <v>1</v>
      </c>
      <c r="AQ52" s="31">
        <v>0.70000000000000007</v>
      </c>
      <c r="AR52" s="31">
        <v>1</v>
      </c>
      <c r="AS52" s="130">
        <v>73.959999999999994</v>
      </c>
      <c r="AT52" s="29">
        <v>0</v>
      </c>
      <c r="AU52" s="29">
        <v>0</v>
      </c>
      <c r="AV52" s="71">
        <v>0.51771999999999996</v>
      </c>
      <c r="AW52" s="71">
        <v>0</v>
      </c>
      <c r="AX52" s="71">
        <v>0</v>
      </c>
      <c r="AY52" s="71">
        <v>0</v>
      </c>
      <c r="AZ52" s="19">
        <v>0.84</v>
      </c>
      <c r="BA52" s="65">
        <v>1.6</v>
      </c>
      <c r="BB52" s="29" t="b">
        <v>0</v>
      </c>
      <c r="BC52" s="29" t="b">
        <v>0</v>
      </c>
      <c r="BD52" s="29" t="s">
        <v>79</v>
      </c>
      <c r="BE52" s="29" t="b">
        <v>0</v>
      </c>
      <c r="BF52" s="29" t="b">
        <v>0</v>
      </c>
      <c r="BG52" s="62" t="b">
        <v>0</v>
      </c>
      <c r="BH52" s="30">
        <v>0.95199999999999996</v>
      </c>
      <c r="BI52" s="29" t="b">
        <v>0</v>
      </c>
      <c r="BJ52" s="62" t="s">
        <v>395</v>
      </c>
      <c r="BK52" s="29" t="b">
        <v>0</v>
      </c>
      <c r="BL52" s="29" t="b">
        <v>0</v>
      </c>
      <c r="BM52" s="29">
        <v>0</v>
      </c>
      <c r="BN52" s="29">
        <v>0</v>
      </c>
      <c r="BO52" s="29">
        <v>0</v>
      </c>
      <c r="BP52" s="29">
        <v>0</v>
      </c>
      <c r="BQ52" s="29" t="b">
        <v>0</v>
      </c>
      <c r="BR52" s="29">
        <v>0</v>
      </c>
      <c r="BS52" s="53">
        <v>0</v>
      </c>
      <c r="BT52" s="62" t="b">
        <v>0</v>
      </c>
      <c r="BU52" s="29" t="b">
        <v>0</v>
      </c>
      <c r="BV52" s="29" t="b">
        <v>0</v>
      </c>
      <c r="BW52" s="29" t="s">
        <v>79</v>
      </c>
      <c r="BX52" s="62" t="b">
        <v>0</v>
      </c>
      <c r="BY52" s="62" t="s">
        <v>431</v>
      </c>
    </row>
    <row r="53" spans="1:77" ht="15" customHeight="1" x14ac:dyDescent="0.2">
      <c r="A53" s="18" t="s">
        <v>686</v>
      </c>
      <c r="B53" s="133" t="s">
        <v>687</v>
      </c>
      <c r="C53" s="17" t="s">
        <v>122</v>
      </c>
      <c r="D53" s="164" t="s">
        <v>195</v>
      </c>
      <c r="E53" s="164" t="s">
        <v>195</v>
      </c>
      <c r="F53" s="63" t="s">
        <v>661</v>
      </c>
      <c r="G53" s="19" t="s">
        <v>376</v>
      </c>
      <c r="H53" s="29" t="b">
        <v>0</v>
      </c>
      <c r="I53" s="37" t="s">
        <v>79</v>
      </c>
      <c r="J53" s="17" t="s">
        <v>79</v>
      </c>
      <c r="K53" s="29" t="b">
        <v>0</v>
      </c>
      <c r="L53" s="70">
        <v>0</v>
      </c>
      <c r="M53" s="19">
        <v>10</v>
      </c>
      <c r="N53" s="29">
        <v>0</v>
      </c>
      <c r="O53" s="29">
        <v>0</v>
      </c>
      <c r="P53" s="29">
        <v>0</v>
      </c>
      <c r="Q53" s="29">
        <v>0</v>
      </c>
      <c r="R53" s="31">
        <v>0.95199999999999996</v>
      </c>
      <c r="S53" s="31">
        <v>0.39</v>
      </c>
      <c r="T53" s="72">
        <v>4.8000000000000001E-2</v>
      </c>
      <c r="U53" s="29">
        <v>0</v>
      </c>
      <c r="V53" s="29">
        <v>0</v>
      </c>
      <c r="W53" s="75">
        <v>1</v>
      </c>
      <c r="X53" s="29">
        <v>0</v>
      </c>
      <c r="Y53" s="29">
        <v>0</v>
      </c>
      <c r="Z53" s="29">
        <v>0</v>
      </c>
      <c r="AA53" s="29">
        <v>0</v>
      </c>
      <c r="AB53" s="134">
        <v>15.9862</v>
      </c>
      <c r="AC53" s="134">
        <v>2.8498000000000001</v>
      </c>
      <c r="AD53" s="29" t="s">
        <v>568</v>
      </c>
      <c r="AE53" s="53">
        <v>3.2841</v>
      </c>
      <c r="AF53" s="53">
        <v>139.29750000000001</v>
      </c>
      <c r="AG53" s="53">
        <v>139.29750000000001</v>
      </c>
      <c r="AH53" s="31">
        <v>0.3</v>
      </c>
      <c r="AI53" s="31">
        <v>0.24</v>
      </c>
      <c r="AJ53" s="29">
        <v>0.18</v>
      </c>
      <c r="AK53" s="29">
        <v>0.15</v>
      </c>
      <c r="AL53" s="62">
        <v>37</v>
      </c>
      <c r="AM53" s="135">
        <v>8</v>
      </c>
      <c r="AN53" s="31">
        <v>0.14000000000000001</v>
      </c>
      <c r="AO53" s="31">
        <v>1</v>
      </c>
      <c r="AP53" s="31">
        <v>1</v>
      </c>
      <c r="AQ53" s="31">
        <v>0.70000000000000007</v>
      </c>
      <c r="AR53" s="31">
        <v>1</v>
      </c>
      <c r="AS53" s="130">
        <v>73.959999999999994</v>
      </c>
      <c r="AT53" s="29">
        <v>0</v>
      </c>
      <c r="AU53" s="29">
        <v>0</v>
      </c>
      <c r="AV53" s="71">
        <v>0.59167999999999998</v>
      </c>
      <c r="AW53" s="71">
        <v>0</v>
      </c>
      <c r="AX53" s="71">
        <v>0</v>
      </c>
      <c r="AY53" s="71">
        <v>0</v>
      </c>
      <c r="AZ53" s="19">
        <v>0.84</v>
      </c>
      <c r="BA53" s="65">
        <v>1.6</v>
      </c>
      <c r="BB53" s="29" t="b">
        <v>0</v>
      </c>
      <c r="BC53" s="29" t="b">
        <v>0</v>
      </c>
      <c r="BD53" s="29" t="s">
        <v>79</v>
      </c>
      <c r="BE53" s="29" t="b">
        <v>0</v>
      </c>
      <c r="BF53" s="29" t="b">
        <v>0</v>
      </c>
      <c r="BG53" s="62" t="b">
        <v>0</v>
      </c>
      <c r="BH53" s="30">
        <v>0.95199999999999996</v>
      </c>
      <c r="BI53" s="29" t="b">
        <v>0</v>
      </c>
      <c r="BJ53" s="62" t="s">
        <v>395</v>
      </c>
      <c r="BK53" s="29" t="b">
        <v>0</v>
      </c>
      <c r="BL53" s="29" t="b">
        <v>0</v>
      </c>
      <c r="BM53" s="29">
        <v>0</v>
      </c>
      <c r="BN53" s="29">
        <v>0</v>
      </c>
      <c r="BO53" s="29">
        <v>0</v>
      </c>
      <c r="BP53" s="29">
        <v>0</v>
      </c>
      <c r="BQ53" s="29" t="b">
        <v>0</v>
      </c>
      <c r="BR53" s="29">
        <v>0</v>
      </c>
      <c r="BS53" s="53">
        <v>0</v>
      </c>
      <c r="BT53" s="62" t="b">
        <v>0</v>
      </c>
      <c r="BU53" s="29" t="b">
        <v>0</v>
      </c>
      <c r="BV53" s="29" t="b">
        <v>0</v>
      </c>
      <c r="BW53" s="29" t="s">
        <v>79</v>
      </c>
      <c r="BX53" s="62" t="b">
        <v>0</v>
      </c>
      <c r="BY53" s="62" t="s">
        <v>431</v>
      </c>
    </row>
    <row r="54" spans="1:77" ht="15" customHeight="1" x14ac:dyDescent="0.2">
      <c r="A54" s="18" t="s">
        <v>688</v>
      </c>
      <c r="B54" s="133" t="s">
        <v>689</v>
      </c>
      <c r="C54" s="17" t="s">
        <v>122</v>
      </c>
      <c r="D54" s="164" t="s">
        <v>195</v>
      </c>
      <c r="E54" s="164" t="s">
        <v>195</v>
      </c>
      <c r="F54" s="63" t="s">
        <v>661</v>
      </c>
      <c r="G54" s="19" t="s">
        <v>376</v>
      </c>
      <c r="H54" s="29" t="b">
        <v>0</v>
      </c>
      <c r="I54" s="37" t="s">
        <v>79</v>
      </c>
      <c r="J54" s="17" t="s">
        <v>79</v>
      </c>
      <c r="K54" s="29" t="b">
        <v>0</v>
      </c>
      <c r="L54" s="70">
        <v>0</v>
      </c>
      <c r="M54" s="19">
        <v>10</v>
      </c>
      <c r="N54" s="29">
        <v>0</v>
      </c>
      <c r="O54" s="29">
        <v>0</v>
      </c>
      <c r="P54" s="29">
        <v>0</v>
      </c>
      <c r="Q54" s="29">
        <v>0</v>
      </c>
      <c r="R54" s="31">
        <v>0.95199999999999996</v>
      </c>
      <c r="S54" s="31">
        <v>0.39</v>
      </c>
      <c r="T54" s="72">
        <v>4.8000000000000001E-2</v>
      </c>
      <c r="U54" s="29">
        <v>0</v>
      </c>
      <c r="V54" s="29">
        <v>0</v>
      </c>
      <c r="W54" s="75">
        <v>1</v>
      </c>
      <c r="X54" s="29">
        <v>0</v>
      </c>
      <c r="Y54" s="29">
        <v>0</v>
      </c>
      <c r="Z54" s="29">
        <v>0</v>
      </c>
      <c r="AA54" s="29">
        <v>0</v>
      </c>
      <c r="AB54" s="134">
        <v>22.112200000000001</v>
      </c>
      <c r="AC54" s="134">
        <v>4.7979000000000003</v>
      </c>
      <c r="AD54" s="29" t="s">
        <v>568</v>
      </c>
      <c r="AE54" s="53">
        <v>3.2841</v>
      </c>
      <c r="AF54" s="53">
        <v>139.29750000000001</v>
      </c>
      <c r="AG54" s="53">
        <v>139.29750000000001</v>
      </c>
      <c r="AH54" s="31">
        <v>0.3</v>
      </c>
      <c r="AI54" s="31">
        <v>0.24</v>
      </c>
      <c r="AJ54" s="29">
        <v>0.18</v>
      </c>
      <c r="AK54" s="29">
        <v>0.15</v>
      </c>
      <c r="AL54" s="62">
        <v>37</v>
      </c>
      <c r="AM54" s="135">
        <v>9</v>
      </c>
      <c r="AN54" s="31">
        <v>0.14000000000000001</v>
      </c>
      <c r="AO54" s="31">
        <v>1</v>
      </c>
      <c r="AP54" s="31">
        <v>1</v>
      </c>
      <c r="AQ54" s="31">
        <v>0.70000000000000007</v>
      </c>
      <c r="AR54" s="31">
        <v>1</v>
      </c>
      <c r="AS54" s="130">
        <v>73.959999999999994</v>
      </c>
      <c r="AT54" s="29">
        <v>0</v>
      </c>
      <c r="AU54" s="29">
        <v>0</v>
      </c>
      <c r="AV54" s="71">
        <v>0.66564000000000001</v>
      </c>
      <c r="AW54" s="71">
        <v>0</v>
      </c>
      <c r="AX54" s="71">
        <v>0</v>
      </c>
      <c r="AY54" s="71">
        <v>0</v>
      </c>
      <c r="AZ54" s="19">
        <v>0.84</v>
      </c>
      <c r="BA54" s="65">
        <v>1.6</v>
      </c>
      <c r="BB54" s="29" t="b">
        <v>0</v>
      </c>
      <c r="BC54" s="29" t="b">
        <v>0</v>
      </c>
      <c r="BD54" s="29" t="s">
        <v>79</v>
      </c>
      <c r="BE54" s="29" t="b">
        <v>0</v>
      </c>
      <c r="BF54" s="29" t="b">
        <v>0</v>
      </c>
      <c r="BG54" s="62" t="b">
        <v>0</v>
      </c>
      <c r="BH54" s="30">
        <v>0.95199999999999996</v>
      </c>
      <c r="BI54" s="29" t="b">
        <v>0</v>
      </c>
      <c r="BJ54" s="62" t="s">
        <v>395</v>
      </c>
      <c r="BK54" s="29" t="b">
        <v>0</v>
      </c>
      <c r="BL54" s="29" t="b">
        <v>0</v>
      </c>
      <c r="BM54" s="29">
        <v>0</v>
      </c>
      <c r="BN54" s="29">
        <v>0</v>
      </c>
      <c r="BO54" s="29">
        <v>0</v>
      </c>
      <c r="BP54" s="29">
        <v>0</v>
      </c>
      <c r="BQ54" s="29" t="b">
        <v>0</v>
      </c>
      <c r="BR54" s="29">
        <v>0</v>
      </c>
      <c r="BS54" s="53">
        <v>0</v>
      </c>
      <c r="BT54" s="62" t="b">
        <v>0</v>
      </c>
      <c r="BU54" s="29" t="b">
        <v>0</v>
      </c>
      <c r="BV54" s="29" t="b">
        <v>0</v>
      </c>
      <c r="BW54" s="29" t="s">
        <v>79</v>
      </c>
      <c r="BX54" s="62" t="b">
        <v>0</v>
      </c>
      <c r="BY54" s="62" t="s">
        <v>431</v>
      </c>
    </row>
    <row r="55" spans="1:77" x14ac:dyDescent="0.2">
      <c r="A55" s="18" t="s">
        <v>690</v>
      </c>
      <c r="B55" s="133" t="s">
        <v>691</v>
      </c>
      <c r="C55" s="17" t="s">
        <v>122</v>
      </c>
      <c r="D55" s="164" t="s">
        <v>195</v>
      </c>
      <c r="E55" s="164" t="s">
        <v>195</v>
      </c>
      <c r="F55" s="63" t="s">
        <v>661</v>
      </c>
      <c r="G55" s="19" t="s">
        <v>376</v>
      </c>
      <c r="H55" s="29" t="b">
        <v>0</v>
      </c>
      <c r="I55" s="37" t="s">
        <v>79</v>
      </c>
      <c r="J55" s="17" t="s">
        <v>79</v>
      </c>
      <c r="K55" s="29" t="b">
        <v>0</v>
      </c>
      <c r="L55" s="70">
        <v>0</v>
      </c>
      <c r="M55" s="19">
        <v>10</v>
      </c>
      <c r="N55" s="29">
        <v>0</v>
      </c>
      <c r="O55" s="29">
        <v>0</v>
      </c>
      <c r="P55" s="29">
        <v>0</v>
      </c>
      <c r="Q55" s="29">
        <v>0</v>
      </c>
      <c r="R55" s="31">
        <v>0.95199999999999996</v>
      </c>
      <c r="S55" s="31">
        <v>0.39</v>
      </c>
      <c r="T55" s="72">
        <v>4.8000000000000001E-2</v>
      </c>
      <c r="U55" s="29">
        <v>0</v>
      </c>
      <c r="V55" s="29">
        <v>0</v>
      </c>
      <c r="W55" s="75">
        <v>1</v>
      </c>
      <c r="X55" s="29">
        <v>0</v>
      </c>
      <c r="Y55" s="29">
        <v>0</v>
      </c>
      <c r="Z55" s="29">
        <v>0</v>
      </c>
      <c r="AA55" s="29">
        <v>0</v>
      </c>
      <c r="AB55" s="134">
        <v>21.1995</v>
      </c>
      <c r="AC55" s="134">
        <v>5.8060999999999998</v>
      </c>
      <c r="AD55" s="29" t="s">
        <v>568</v>
      </c>
      <c r="AE55" s="53">
        <v>3.2841</v>
      </c>
      <c r="AF55" s="53">
        <v>139.29750000000001</v>
      </c>
      <c r="AG55" s="53">
        <v>139.29750000000001</v>
      </c>
      <c r="AH55" s="31">
        <v>0.3</v>
      </c>
      <c r="AI55" s="31">
        <v>0.24</v>
      </c>
      <c r="AJ55" s="29">
        <v>0.18</v>
      </c>
      <c r="AK55" s="29">
        <v>0.15</v>
      </c>
      <c r="AL55" s="62">
        <v>37</v>
      </c>
      <c r="AM55" s="135">
        <v>10</v>
      </c>
      <c r="AN55" s="31">
        <v>0.14000000000000001</v>
      </c>
      <c r="AO55" s="31">
        <v>1</v>
      </c>
      <c r="AP55" s="31">
        <v>1</v>
      </c>
      <c r="AQ55" s="31">
        <v>0.70000000000000007</v>
      </c>
      <c r="AR55" s="31">
        <v>1</v>
      </c>
      <c r="AS55" s="130">
        <v>73.959999999999994</v>
      </c>
      <c r="AT55" s="29">
        <v>0</v>
      </c>
      <c r="AU55" s="29">
        <v>0</v>
      </c>
      <c r="AV55" s="71">
        <v>0.73959999999999992</v>
      </c>
      <c r="AW55" s="71">
        <v>0</v>
      </c>
      <c r="AX55" s="71">
        <v>0</v>
      </c>
      <c r="AY55" s="71">
        <v>0</v>
      </c>
      <c r="AZ55" s="19">
        <v>0.84</v>
      </c>
      <c r="BA55" s="65">
        <v>1.6</v>
      </c>
      <c r="BB55" s="29" t="b">
        <v>0</v>
      </c>
      <c r="BC55" s="29" t="b">
        <v>0</v>
      </c>
      <c r="BD55" s="29" t="s">
        <v>79</v>
      </c>
      <c r="BE55" s="29" t="b">
        <v>0</v>
      </c>
      <c r="BF55" s="29" t="b">
        <v>0</v>
      </c>
      <c r="BG55" s="62" t="b">
        <v>0</v>
      </c>
      <c r="BH55" s="30">
        <v>0.95199999999999996</v>
      </c>
      <c r="BI55" s="29" t="b">
        <v>0</v>
      </c>
      <c r="BJ55" s="62" t="s">
        <v>395</v>
      </c>
      <c r="BK55" s="29" t="b">
        <v>0</v>
      </c>
      <c r="BL55" s="29" t="b">
        <v>0</v>
      </c>
      <c r="BM55" s="29">
        <v>0</v>
      </c>
      <c r="BN55" s="29">
        <v>0</v>
      </c>
      <c r="BO55" s="29">
        <v>0</v>
      </c>
      <c r="BP55" s="29">
        <v>0</v>
      </c>
      <c r="BQ55" s="29" t="b">
        <v>0</v>
      </c>
      <c r="BR55" s="29">
        <v>0</v>
      </c>
      <c r="BS55" s="53">
        <v>0</v>
      </c>
      <c r="BT55" s="62" t="b">
        <v>0</v>
      </c>
      <c r="BU55" s="29" t="b">
        <v>0</v>
      </c>
      <c r="BV55" s="29" t="b">
        <v>0</v>
      </c>
      <c r="BW55" s="29" t="s">
        <v>79</v>
      </c>
      <c r="BX55" s="62" t="b">
        <v>0</v>
      </c>
      <c r="BY55" s="62" t="s">
        <v>431</v>
      </c>
    </row>
    <row r="56" spans="1:77" x14ac:dyDescent="0.2">
      <c r="A56" s="18" t="s">
        <v>692</v>
      </c>
      <c r="B56" s="133" t="s">
        <v>693</v>
      </c>
      <c r="C56" s="17" t="s">
        <v>122</v>
      </c>
      <c r="D56" s="164" t="s">
        <v>195</v>
      </c>
      <c r="E56" s="164" t="s">
        <v>195</v>
      </c>
      <c r="F56" s="63" t="s">
        <v>661</v>
      </c>
      <c r="G56" s="19" t="s">
        <v>376</v>
      </c>
      <c r="H56" s="29" t="b">
        <v>0</v>
      </c>
      <c r="I56" s="37" t="s">
        <v>79</v>
      </c>
      <c r="J56" s="17" t="s">
        <v>79</v>
      </c>
      <c r="K56" s="29" t="b">
        <v>0</v>
      </c>
      <c r="L56" s="70">
        <v>0</v>
      </c>
      <c r="M56" s="19">
        <v>10</v>
      </c>
      <c r="N56" s="29">
        <v>0</v>
      </c>
      <c r="O56" s="29">
        <v>0</v>
      </c>
      <c r="P56" s="29">
        <v>0</v>
      </c>
      <c r="Q56" s="29">
        <v>0</v>
      </c>
      <c r="R56" s="31">
        <v>0.95199999999999996</v>
      </c>
      <c r="S56" s="31">
        <v>0.39</v>
      </c>
      <c r="T56" s="72">
        <v>4.8000000000000001E-2</v>
      </c>
      <c r="U56" s="29">
        <v>0</v>
      </c>
      <c r="V56" s="29">
        <v>0</v>
      </c>
      <c r="W56" s="75">
        <v>1</v>
      </c>
      <c r="X56" s="29">
        <v>0</v>
      </c>
      <c r="Y56" s="29">
        <v>0</v>
      </c>
      <c r="Z56" s="29">
        <v>0</v>
      </c>
      <c r="AA56" s="29">
        <v>0</v>
      </c>
      <c r="AB56" s="134">
        <v>50.086100000000002</v>
      </c>
      <c r="AC56" s="134">
        <v>7.1181999999999999</v>
      </c>
      <c r="AD56" s="29" t="s">
        <v>568</v>
      </c>
      <c r="AE56" s="53">
        <v>3.2841</v>
      </c>
      <c r="AF56" s="53">
        <v>139.29750000000001</v>
      </c>
      <c r="AG56" s="53">
        <v>139.29750000000001</v>
      </c>
      <c r="AH56" s="31">
        <v>0.3</v>
      </c>
      <c r="AI56" s="31">
        <v>0.24</v>
      </c>
      <c r="AJ56" s="29">
        <v>0.18</v>
      </c>
      <c r="AK56" s="29">
        <v>0.15</v>
      </c>
      <c r="AL56" s="62">
        <v>37</v>
      </c>
      <c r="AM56" s="135">
        <v>11</v>
      </c>
      <c r="AN56" s="31">
        <v>0.14000000000000001</v>
      </c>
      <c r="AO56" s="31">
        <v>1</v>
      </c>
      <c r="AP56" s="31">
        <v>1</v>
      </c>
      <c r="AQ56" s="31">
        <v>0.70000000000000007</v>
      </c>
      <c r="AR56" s="31">
        <v>1</v>
      </c>
      <c r="AS56" s="130">
        <v>73.959999999999994</v>
      </c>
      <c r="AT56" s="29">
        <v>0</v>
      </c>
      <c r="AU56" s="29">
        <v>0</v>
      </c>
      <c r="AV56" s="71">
        <v>0.81355999999999995</v>
      </c>
      <c r="AW56" s="71">
        <v>0</v>
      </c>
      <c r="AX56" s="71">
        <v>0</v>
      </c>
      <c r="AY56" s="71">
        <v>0</v>
      </c>
      <c r="AZ56" s="19">
        <v>0.84</v>
      </c>
      <c r="BA56" s="65">
        <v>1.6</v>
      </c>
      <c r="BB56" s="29" t="b">
        <v>0</v>
      </c>
      <c r="BC56" s="29" t="b">
        <v>0</v>
      </c>
      <c r="BD56" s="29" t="s">
        <v>79</v>
      </c>
      <c r="BE56" s="29" t="b">
        <v>0</v>
      </c>
      <c r="BF56" s="29" t="b">
        <v>0</v>
      </c>
      <c r="BG56" s="62" t="b">
        <v>0</v>
      </c>
      <c r="BH56" s="30">
        <v>0.95199999999999996</v>
      </c>
      <c r="BI56" s="29" t="b">
        <v>0</v>
      </c>
      <c r="BJ56" s="62" t="s">
        <v>395</v>
      </c>
      <c r="BK56" s="29" t="b">
        <v>0</v>
      </c>
      <c r="BL56" s="29" t="b">
        <v>0</v>
      </c>
      <c r="BM56" s="29">
        <v>0</v>
      </c>
      <c r="BN56" s="29">
        <v>0</v>
      </c>
      <c r="BO56" s="29">
        <v>0</v>
      </c>
      <c r="BP56" s="29">
        <v>0</v>
      </c>
      <c r="BQ56" s="29" t="b">
        <v>0</v>
      </c>
      <c r="BR56" s="29">
        <v>0</v>
      </c>
      <c r="BS56" s="53">
        <v>0</v>
      </c>
      <c r="BT56" s="62" t="b">
        <v>0</v>
      </c>
      <c r="BU56" s="29" t="b">
        <v>0</v>
      </c>
      <c r="BV56" s="29" t="b">
        <v>0</v>
      </c>
      <c r="BW56" s="29" t="s">
        <v>79</v>
      </c>
      <c r="BX56" s="62" t="b">
        <v>0</v>
      </c>
      <c r="BY56" s="62" t="s">
        <v>431</v>
      </c>
    </row>
    <row r="57" spans="1:77" x14ac:dyDescent="0.2">
      <c r="A57" s="18" t="s">
        <v>694</v>
      </c>
      <c r="B57" s="133" t="s">
        <v>695</v>
      </c>
      <c r="C57" s="17" t="s">
        <v>122</v>
      </c>
      <c r="D57" s="164" t="s">
        <v>195</v>
      </c>
      <c r="E57" s="164" t="s">
        <v>195</v>
      </c>
      <c r="F57" s="63" t="s">
        <v>661</v>
      </c>
      <c r="G57" s="19" t="s">
        <v>376</v>
      </c>
      <c r="H57" s="29" t="b">
        <v>0</v>
      </c>
      <c r="I57" s="37" t="s">
        <v>79</v>
      </c>
      <c r="J57" s="17" t="s">
        <v>79</v>
      </c>
      <c r="K57" s="29" t="b">
        <v>0</v>
      </c>
      <c r="L57" s="70">
        <v>0</v>
      </c>
      <c r="M57" s="19">
        <v>10</v>
      </c>
      <c r="N57" s="29">
        <v>0</v>
      </c>
      <c r="O57" s="29">
        <v>0</v>
      </c>
      <c r="P57" s="29">
        <v>0</v>
      </c>
      <c r="Q57" s="29">
        <v>0</v>
      </c>
      <c r="R57" s="31">
        <v>0.95199999999999996</v>
      </c>
      <c r="S57" s="31">
        <v>0.39</v>
      </c>
      <c r="T57" s="72">
        <v>4.8000000000000001E-2</v>
      </c>
      <c r="U57" s="29">
        <v>0</v>
      </c>
      <c r="V57" s="29">
        <v>0</v>
      </c>
      <c r="W57" s="75">
        <v>1</v>
      </c>
      <c r="X57" s="29">
        <v>0</v>
      </c>
      <c r="Y57" s="29">
        <v>0</v>
      </c>
      <c r="Z57" s="29">
        <v>0</v>
      </c>
      <c r="AA57" s="29">
        <v>0</v>
      </c>
      <c r="AB57" s="134">
        <v>37.279899999999998</v>
      </c>
      <c r="AC57" s="134">
        <v>8.7736000000000001</v>
      </c>
      <c r="AD57" s="29" t="s">
        <v>568</v>
      </c>
      <c r="AE57" s="53">
        <v>3.2841</v>
      </c>
      <c r="AF57" s="53">
        <v>139.29750000000001</v>
      </c>
      <c r="AG57" s="53">
        <v>139.29750000000001</v>
      </c>
      <c r="AH57" s="31">
        <v>0.3</v>
      </c>
      <c r="AI57" s="31">
        <v>0.24</v>
      </c>
      <c r="AJ57" s="29">
        <v>0.18</v>
      </c>
      <c r="AK57" s="29">
        <v>0.15</v>
      </c>
      <c r="AL57" s="62">
        <v>37</v>
      </c>
      <c r="AM57" s="135">
        <v>12</v>
      </c>
      <c r="AN57" s="31">
        <v>0.14000000000000001</v>
      </c>
      <c r="AO57" s="31">
        <v>1</v>
      </c>
      <c r="AP57" s="31">
        <v>1</v>
      </c>
      <c r="AQ57" s="31">
        <v>0.70000000000000007</v>
      </c>
      <c r="AR57" s="31">
        <v>1</v>
      </c>
      <c r="AS57" s="130">
        <v>73.959999999999994</v>
      </c>
      <c r="AT57" s="29">
        <v>0</v>
      </c>
      <c r="AU57" s="29">
        <v>0</v>
      </c>
      <c r="AV57" s="71">
        <v>0.88751999999999998</v>
      </c>
      <c r="AW57" s="71">
        <v>0</v>
      </c>
      <c r="AX57" s="71">
        <v>0</v>
      </c>
      <c r="AY57" s="71">
        <v>0</v>
      </c>
      <c r="AZ57" s="19">
        <v>0.84</v>
      </c>
      <c r="BA57" s="65">
        <v>1.6</v>
      </c>
      <c r="BB57" s="29" t="b">
        <v>0</v>
      </c>
      <c r="BC57" s="29" t="b">
        <v>0</v>
      </c>
      <c r="BD57" s="29" t="s">
        <v>79</v>
      </c>
      <c r="BE57" s="29" t="b">
        <v>0</v>
      </c>
      <c r="BF57" s="29" t="b">
        <v>0</v>
      </c>
      <c r="BG57" s="62" t="b">
        <v>0</v>
      </c>
      <c r="BH57" s="30">
        <v>0.95199999999999996</v>
      </c>
      <c r="BI57" s="29" t="b">
        <v>0</v>
      </c>
      <c r="BJ57" s="62" t="s">
        <v>395</v>
      </c>
      <c r="BK57" s="29" t="b">
        <v>0</v>
      </c>
      <c r="BL57" s="29" t="b">
        <v>0</v>
      </c>
      <c r="BM57" s="29">
        <v>0</v>
      </c>
      <c r="BN57" s="29">
        <v>0</v>
      </c>
      <c r="BO57" s="29">
        <v>0</v>
      </c>
      <c r="BP57" s="29">
        <v>0</v>
      </c>
      <c r="BQ57" s="29" t="b">
        <v>0</v>
      </c>
      <c r="BR57" s="29">
        <v>0</v>
      </c>
      <c r="BS57" s="53">
        <v>0</v>
      </c>
      <c r="BT57" s="62" t="b">
        <v>0</v>
      </c>
      <c r="BU57" s="29" t="b">
        <v>0</v>
      </c>
      <c r="BV57" s="29" t="b">
        <v>0</v>
      </c>
      <c r="BW57" s="29" t="s">
        <v>79</v>
      </c>
      <c r="BX57" s="62" t="b">
        <v>0</v>
      </c>
      <c r="BY57" s="62" t="s">
        <v>431</v>
      </c>
    </row>
    <row r="58" spans="1:77" x14ac:dyDescent="0.2">
      <c r="A58" s="18" t="s">
        <v>696</v>
      </c>
      <c r="B58" s="133" t="s">
        <v>697</v>
      </c>
      <c r="C58" s="17" t="s">
        <v>122</v>
      </c>
      <c r="D58" s="164" t="s">
        <v>195</v>
      </c>
      <c r="E58" s="164" t="s">
        <v>195</v>
      </c>
      <c r="F58" s="63" t="s">
        <v>661</v>
      </c>
      <c r="G58" s="19" t="s">
        <v>376</v>
      </c>
      <c r="H58" s="29" t="b">
        <v>0</v>
      </c>
      <c r="I58" s="37" t="s">
        <v>79</v>
      </c>
      <c r="J58" s="17" t="s">
        <v>79</v>
      </c>
      <c r="K58" s="29" t="b">
        <v>0</v>
      </c>
      <c r="L58" s="70">
        <v>0</v>
      </c>
      <c r="M58" s="19">
        <v>10</v>
      </c>
      <c r="N58" s="29">
        <v>0</v>
      </c>
      <c r="O58" s="29">
        <v>0</v>
      </c>
      <c r="P58" s="29">
        <v>0</v>
      </c>
      <c r="Q58" s="29">
        <v>0</v>
      </c>
      <c r="R58" s="31">
        <v>0.95199999999999996</v>
      </c>
      <c r="S58" s="31">
        <v>0.39</v>
      </c>
      <c r="T58" s="72">
        <v>4.8000000000000001E-2</v>
      </c>
      <c r="U58" s="29">
        <v>0</v>
      </c>
      <c r="V58" s="29">
        <v>0</v>
      </c>
      <c r="W58" s="75">
        <v>1</v>
      </c>
      <c r="X58" s="29">
        <v>0</v>
      </c>
      <c r="Y58" s="29">
        <v>0</v>
      </c>
      <c r="Z58" s="29">
        <v>0</v>
      </c>
      <c r="AA58" s="29">
        <v>0</v>
      </c>
      <c r="AB58" s="134">
        <v>24.473800000000001</v>
      </c>
      <c r="AC58" s="134">
        <v>10.429</v>
      </c>
      <c r="AD58" s="29" t="s">
        <v>568</v>
      </c>
      <c r="AE58" s="53">
        <v>3.2841</v>
      </c>
      <c r="AF58" s="53">
        <v>139.29750000000001</v>
      </c>
      <c r="AG58" s="53">
        <v>139.29750000000001</v>
      </c>
      <c r="AH58" s="31">
        <v>0.3</v>
      </c>
      <c r="AI58" s="31">
        <v>0.24</v>
      </c>
      <c r="AJ58" s="29">
        <v>0.18</v>
      </c>
      <c r="AK58" s="29">
        <v>0.15</v>
      </c>
      <c r="AL58" s="62">
        <v>37</v>
      </c>
      <c r="AM58" s="135">
        <v>13</v>
      </c>
      <c r="AN58" s="31">
        <v>0.14000000000000001</v>
      </c>
      <c r="AO58" s="31">
        <v>1</v>
      </c>
      <c r="AP58" s="31">
        <v>1</v>
      </c>
      <c r="AQ58" s="31">
        <v>0.70000000000000007</v>
      </c>
      <c r="AR58" s="31">
        <v>1</v>
      </c>
      <c r="AS58" s="130">
        <v>73.959999999999994</v>
      </c>
      <c r="AT58" s="29">
        <v>0</v>
      </c>
      <c r="AU58" s="29">
        <v>0</v>
      </c>
      <c r="AV58" s="71">
        <v>0.96147999999999989</v>
      </c>
      <c r="AW58" s="71">
        <v>0</v>
      </c>
      <c r="AX58" s="71">
        <v>0</v>
      </c>
      <c r="AY58" s="71">
        <v>0</v>
      </c>
      <c r="AZ58" s="19">
        <v>0.84</v>
      </c>
      <c r="BA58" s="65">
        <v>1.6</v>
      </c>
      <c r="BB58" s="29" t="b">
        <v>0</v>
      </c>
      <c r="BC58" s="29" t="b">
        <v>0</v>
      </c>
      <c r="BD58" s="29" t="s">
        <v>79</v>
      </c>
      <c r="BE58" s="29" t="b">
        <v>0</v>
      </c>
      <c r="BF58" s="29" t="b">
        <v>0</v>
      </c>
      <c r="BG58" s="62" t="b">
        <v>0</v>
      </c>
      <c r="BH58" s="30">
        <v>0.95199999999999996</v>
      </c>
      <c r="BI58" s="29" t="b">
        <v>0</v>
      </c>
      <c r="BJ58" s="62" t="s">
        <v>395</v>
      </c>
      <c r="BK58" s="29" t="b">
        <v>0</v>
      </c>
      <c r="BL58" s="29" t="b">
        <v>0</v>
      </c>
      <c r="BM58" s="29">
        <v>0</v>
      </c>
      <c r="BN58" s="29">
        <v>0</v>
      </c>
      <c r="BO58" s="29">
        <v>0</v>
      </c>
      <c r="BP58" s="29">
        <v>0</v>
      </c>
      <c r="BQ58" s="29" t="b">
        <v>0</v>
      </c>
      <c r="BR58" s="29">
        <v>0</v>
      </c>
      <c r="BS58" s="53">
        <v>0</v>
      </c>
      <c r="BT58" s="62" t="b">
        <v>0</v>
      </c>
      <c r="BU58" s="29" t="b">
        <v>0</v>
      </c>
      <c r="BV58" s="29" t="b">
        <v>0</v>
      </c>
      <c r="BW58" s="29" t="s">
        <v>79</v>
      </c>
      <c r="BX58" s="62" t="b">
        <v>0</v>
      </c>
      <c r="BY58" s="62" t="s">
        <v>431</v>
      </c>
    </row>
    <row r="59" spans="1:77" x14ac:dyDescent="0.2">
      <c r="A59" s="18" t="s">
        <v>698</v>
      </c>
      <c r="B59" s="133" t="s">
        <v>699</v>
      </c>
      <c r="C59" s="17" t="s">
        <v>122</v>
      </c>
      <c r="D59" s="164" t="s">
        <v>195</v>
      </c>
      <c r="E59" s="164" t="s">
        <v>195</v>
      </c>
      <c r="F59" s="63" t="s">
        <v>661</v>
      </c>
      <c r="G59" s="19" t="s">
        <v>376</v>
      </c>
      <c r="H59" s="29" t="b">
        <v>0</v>
      </c>
      <c r="I59" s="37" t="s">
        <v>79</v>
      </c>
      <c r="J59" s="17" t="s">
        <v>79</v>
      </c>
      <c r="K59" s="29" t="b">
        <v>0</v>
      </c>
      <c r="L59" s="70">
        <v>0</v>
      </c>
      <c r="M59" s="19">
        <v>10</v>
      </c>
      <c r="N59" s="29">
        <v>0</v>
      </c>
      <c r="O59" s="29">
        <v>0</v>
      </c>
      <c r="P59" s="29">
        <v>0</v>
      </c>
      <c r="Q59" s="29">
        <v>0</v>
      </c>
      <c r="R59" s="31">
        <v>0.95199999999999996</v>
      </c>
      <c r="S59" s="31">
        <v>0.39</v>
      </c>
      <c r="T59" s="72">
        <v>4.8000000000000001E-2</v>
      </c>
      <c r="U59" s="29">
        <v>0</v>
      </c>
      <c r="V59" s="29">
        <v>0</v>
      </c>
      <c r="W59" s="75">
        <v>1</v>
      </c>
      <c r="X59" s="29">
        <v>0</v>
      </c>
      <c r="Y59" s="29">
        <v>0</v>
      </c>
      <c r="Z59" s="29">
        <v>0</v>
      </c>
      <c r="AA59" s="29">
        <v>0</v>
      </c>
      <c r="AB59" s="134">
        <v>21.560500000000001</v>
      </c>
      <c r="AC59" s="134">
        <v>3.7542</v>
      </c>
      <c r="AD59" s="29" t="s">
        <v>568</v>
      </c>
      <c r="AE59" s="53">
        <v>3.2841</v>
      </c>
      <c r="AF59" s="53">
        <v>139.29750000000001</v>
      </c>
      <c r="AG59" s="53">
        <v>139.29750000000001</v>
      </c>
      <c r="AH59" s="31">
        <v>0.3</v>
      </c>
      <c r="AI59" s="31">
        <v>0.24</v>
      </c>
      <c r="AJ59" s="29">
        <v>0.18</v>
      </c>
      <c r="AK59" s="29">
        <v>0.15</v>
      </c>
      <c r="AL59" s="62">
        <v>37</v>
      </c>
      <c r="AM59" s="135">
        <v>14</v>
      </c>
      <c r="AN59" s="31">
        <v>0.14000000000000001</v>
      </c>
      <c r="AO59" s="31">
        <v>1</v>
      </c>
      <c r="AP59" s="31">
        <v>1</v>
      </c>
      <c r="AQ59" s="31">
        <v>0.70000000000000007</v>
      </c>
      <c r="AR59" s="31">
        <v>1</v>
      </c>
      <c r="AS59" s="130">
        <v>73.959999999999994</v>
      </c>
      <c r="AT59" s="29">
        <v>0</v>
      </c>
      <c r="AU59" s="29">
        <v>0</v>
      </c>
      <c r="AV59" s="71">
        <v>1.0354399999999999</v>
      </c>
      <c r="AW59" s="71">
        <v>0</v>
      </c>
      <c r="AX59" s="71">
        <v>0</v>
      </c>
      <c r="AY59" s="71">
        <v>0</v>
      </c>
      <c r="AZ59" s="19">
        <v>0.84</v>
      </c>
      <c r="BA59" s="65">
        <v>1.6</v>
      </c>
      <c r="BB59" s="29" t="b">
        <v>0</v>
      </c>
      <c r="BC59" s="29" t="b">
        <v>0</v>
      </c>
      <c r="BD59" s="29" t="s">
        <v>79</v>
      </c>
      <c r="BE59" s="29" t="b">
        <v>0</v>
      </c>
      <c r="BF59" s="29" t="b">
        <v>0</v>
      </c>
      <c r="BG59" s="62" t="b">
        <v>0</v>
      </c>
      <c r="BH59" s="30">
        <v>0.95199999999999996</v>
      </c>
      <c r="BI59" s="29" t="b">
        <v>0</v>
      </c>
      <c r="BJ59" s="62" t="s">
        <v>395</v>
      </c>
      <c r="BK59" s="29" t="b">
        <v>0</v>
      </c>
      <c r="BL59" s="29" t="b">
        <v>0</v>
      </c>
      <c r="BM59" s="29">
        <v>0</v>
      </c>
      <c r="BN59" s="29">
        <v>0</v>
      </c>
      <c r="BO59" s="29">
        <v>0</v>
      </c>
      <c r="BP59" s="29">
        <v>0</v>
      </c>
      <c r="BQ59" s="29" t="b">
        <v>0</v>
      </c>
      <c r="BR59" s="29">
        <v>0</v>
      </c>
      <c r="BS59" s="53">
        <v>0</v>
      </c>
      <c r="BT59" s="62" t="b">
        <v>0</v>
      </c>
      <c r="BU59" s="29" t="b">
        <v>0</v>
      </c>
      <c r="BV59" s="29" t="b">
        <v>0</v>
      </c>
      <c r="BW59" s="29" t="s">
        <v>79</v>
      </c>
      <c r="BX59" s="62" t="b">
        <v>0</v>
      </c>
      <c r="BY59" s="62" t="s">
        <v>431</v>
      </c>
    </row>
    <row r="60" spans="1:77" x14ac:dyDescent="0.2">
      <c r="A60" s="18" t="s">
        <v>700</v>
      </c>
      <c r="B60" s="133" t="s">
        <v>701</v>
      </c>
      <c r="C60" s="17" t="s">
        <v>122</v>
      </c>
      <c r="D60" s="164" t="s">
        <v>195</v>
      </c>
      <c r="E60" s="164" t="s">
        <v>195</v>
      </c>
      <c r="F60" s="63" t="s">
        <v>661</v>
      </c>
      <c r="G60" s="19" t="s">
        <v>376</v>
      </c>
      <c r="H60" s="29" t="b">
        <v>0</v>
      </c>
      <c r="I60" s="37" t="s">
        <v>79</v>
      </c>
      <c r="J60" s="17" t="s">
        <v>79</v>
      </c>
      <c r="K60" s="29" t="b">
        <v>0</v>
      </c>
      <c r="L60" s="70">
        <v>0</v>
      </c>
      <c r="M60" s="19">
        <v>10</v>
      </c>
      <c r="N60" s="29">
        <v>0</v>
      </c>
      <c r="O60" s="29">
        <v>0</v>
      </c>
      <c r="P60" s="29">
        <v>0</v>
      </c>
      <c r="Q60" s="29">
        <v>0</v>
      </c>
      <c r="R60" s="31">
        <v>0.95199999999999996</v>
      </c>
      <c r="S60" s="31">
        <v>0.39</v>
      </c>
      <c r="T60" s="72">
        <v>4.8000000000000001E-2</v>
      </c>
      <c r="U60" s="29">
        <v>0</v>
      </c>
      <c r="V60" s="29">
        <v>0</v>
      </c>
      <c r="W60" s="75">
        <v>1</v>
      </c>
      <c r="X60" s="29">
        <v>0</v>
      </c>
      <c r="Y60" s="29">
        <v>0</v>
      </c>
      <c r="Z60" s="29">
        <v>0</v>
      </c>
      <c r="AA60" s="29">
        <v>0</v>
      </c>
      <c r="AB60" s="134">
        <v>9.8025000000000002</v>
      </c>
      <c r="AC60" s="134">
        <v>3.2692999999999999</v>
      </c>
      <c r="AD60" s="29" t="s">
        <v>568</v>
      </c>
      <c r="AE60" s="53">
        <v>3.2841</v>
      </c>
      <c r="AF60" s="53">
        <v>139.29750000000001</v>
      </c>
      <c r="AG60" s="53">
        <v>139.29750000000001</v>
      </c>
      <c r="AH60" s="31">
        <v>0.3</v>
      </c>
      <c r="AI60" s="31">
        <v>0.24</v>
      </c>
      <c r="AJ60" s="29">
        <v>0.18</v>
      </c>
      <c r="AK60" s="29">
        <v>0.15</v>
      </c>
      <c r="AL60" s="62">
        <v>37</v>
      </c>
      <c r="AM60" s="135">
        <v>15</v>
      </c>
      <c r="AN60" s="31">
        <v>0.14000000000000001</v>
      </c>
      <c r="AO60" s="31">
        <v>1</v>
      </c>
      <c r="AP60" s="31">
        <v>1</v>
      </c>
      <c r="AQ60" s="31">
        <v>0.70000000000000007</v>
      </c>
      <c r="AR60" s="31">
        <v>1</v>
      </c>
      <c r="AS60" s="130">
        <v>73.959999999999994</v>
      </c>
      <c r="AT60" s="29">
        <v>0</v>
      </c>
      <c r="AU60" s="29">
        <v>0</v>
      </c>
      <c r="AV60" s="71">
        <v>1.1093999999999999</v>
      </c>
      <c r="AW60" s="71">
        <v>0</v>
      </c>
      <c r="AX60" s="71">
        <v>0</v>
      </c>
      <c r="AY60" s="71">
        <v>0</v>
      </c>
      <c r="AZ60" s="19">
        <v>0.84</v>
      </c>
      <c r="BA60" s="65">
        <v>1.6</v>
      </c>
      <c r="BB60" s="29" t="b">
        <v>0</v>
      </c>
      <c r="BC60" s="29" t="b">
        <v>0</v>
      </c>
      <c r="BD60" s="29" t="s">
        <v>79</v>
      </c>
      <c r="BE60" s="29" t="b">
        <v>0</v>
      </c>
      <c r="BF60" s="29" t="b">
        <v>0</v>
      </c>
      <c r="BG60" s="62" t="b">
        <v>0</v>
      </c>
      <c r="BH60" s="30">
        <v>0.95199999999999996</v>
      </c>
      <c r="BI60" s="29" t="b">
        <v>0</v>
      </c>
      <c r="BJ60" s="62" t="s">
        <v>395</v>
      </c>
      <c r="BK60" s="29" t="b">
        <v>0</v>
      </c>
      <c r="BL60" s="29" t="b">
        <v>0</v>
      </c>
      <c r="BM60" s="29">
        <v>0</v>
      </c>
      <c r="BN60" s="29">
        <v>0</v>
      </c>
      <c r="BO60" s="29">
        <v>0</v>
      </c>
      <c r="BP60" s="29">
        <v>0</v>
      </c>
      <c r="BQ60" s="29" t="b">
        <v>0</v>
      </c>
      <c r="BR60" s="29">
        <v>0</v>
      </c>
      <c r="BS60" s="53">
        <v>0</v>
      </c>
      <c r="BT60" s="62" t="b">
        <v>0</v>
      </c>
      <c r="BU60" s="29" t="b">
        <v>0</v>
      </c>
      <c r="BV60" s="29" t="b">
        <v>0</v>
      </c>
      <c r="BW60" s="29" t="s">
        <v>79</v>
      </c>
      <c r="BX60" s="62" t="b">
        <v>0</v>
      </c>
      <c r="BY60" s="62" t="s">
        <v>431</v>
      </c>
    </row>
    <row r="61" spans="1:77" x14ac:dyDescent="0.2">
      <c r="A61" s="18" t="s">
        <v>702</v>
      </c>
      <c r="B61" s="133" t="s">
        <v>703</v>
      </c>
      <c r="C61" s="17" t="s">
        <v>122</v>
      </c>
      <c r="D61" s="164" t="s">
        <v>195</v>
      </c>
      <c r="E61" s="164" t="s">
        <v>195</v>
      </c>
      <c r="F61" s="63" t="s">
        <v>661</v>
      </c>
      <c r="G61" s="19" t="s">
        <v>376</v>
      </c>
      <c r="H61" s="29" t="b">
        <v>0</v>
      </c>
      <c r="I61" s="37" t="s">
        <v>79</v>
      </c>
      <c r="J61" s="17" t="s">
        <v>79</v>
      </c>
      <c r="K61" s="29" t="b">
        <v>0</v>
      </c>
      <c r="L61" s="70">
        <v>0</v>
      </c>
      <c r="M61" s="19">
        <v>10</v>
      </c>
      <c r="N61" s="29">
        <v>0</v>
      </c>
      <c r="O61" s="29">
        <v>0</v>
      </c>
      <c r="P61" s="29">
        <v>0</v>
      </c>
      <c r="Q61" s="29">
        <v>0</v>
      </c>
      <c r="R61" s="31">
        <v>0.95199999999999996</v>
      </c>
      <c r="S61" s="31">
        <v>0.39</v>
      </c>
      <c r="T61" s="72">
        <v>4.8000000000000001E-2</v>
      </c>
      <c r="U61" s="29">
        <v>0</v>
      </c>
      <c r="V61" s="29">
        <v>0</v>
      </c>
      <c r="W61" s="75">
        <v>1</v>
      </c>
      <c r="X61" s="29">
        <v>0</v>
      </c>
      <c r="Y61" s="29">
        <v>0</v>
      </c>
      <c r="Z61" s="29">
        <v>0</v>
      </c>
      <c r="AA61" s="29">
        <v>0</v>
      </c>
      <c r="AB61" s="134">
        <v>26.078700000000001</v>
      </c>
      <c r="AC61" s="134">
        <v>8.1061999999999994</v>
      </c>
      <c r="AD61" s="29" t="s">
        <v>568</v>
      </c>
      <c r="AE61" s="53">
        <v>3.2841</v>
      </c>
      <c r="AF61" s="53">
        <v>139.29750000000001</v>
      </c>
      <c r="AG61" s="53">
        <v>139.29750000000001</v>
      </c>
      <c r="AH61" s="31">
        <v>0.3</v>
      </c>
      <c r="AI61" s="31">
        <v>0.24</v>
      </c>
      <c r="AJ61" s="29">
        <v>0.18</v>
      </c>
      <c r="AK61" s="29">
        <v>0.15</v>
      </c>
      <c r="AL61" s="62">
        <v>37</v>
      </c>
      <c r="AM61" s="135">
        <v>16</v>
      </c>
      <c r="AN61" s="31">
        <v>0.14000000000000001</v>
      </c>
      <c r="AO61" s="31">
        <v>1</v>
      </c>
      <c r="AP61" s="31">
        <v>1</v>
      </c>
      <c r="AQ61" s="31">
        <v>0.70000000000000007</v>
      </c>
      <c r="AR61" s="31">
        <v>1</v>
      </c>
      <c r="AS61" s="130">
        <v>73.959999999999994</v>
      </c>
      <c r="AT61" s="29">
        <v>0</v>
      </c>
      <c r="AU61" s="29">
        <v>0</v>
      </c>
      <c r="AV61" s="71">
        <v>1.18336</v>
      </c>
      <c r="AW61" s="71">
        <v>0</v>
      </c>
      <c r="AX61" s="71">
        <v>0</v>
      </c>
      <c r="AY61" s="71">
        <v>0</v>
      </c>
      <c r="AZ61" s="19">
        <v>0.84</v>
      </c>
      <c r="BA61" s="65">
        <v>1.6</v>
      </c>
      <c r="BB61" s="29" t="b">
        <v>0</v>
      </c>
      <c r="BC61" s="29" t="b">
        <v>0</v>
      </c>
      <c r="BD61" s="29" t="s">
        <v>79</v>
      </c>
      <c r="BE61" s="29" t="b">
        <v>0</v>
      </c>
      <c r="BF61" s="29" t="b">
        <v>0</v>
      </c>
      <c r="BG61" s="62" t="b">
        <v>0</v>
      </c>
      <c r="BH61" s="30">
        <v>0.95199999999999996</v>
      </c>
      <c r="BI61" s="29" t="b">
        <v>0</v>
      </c>
      <c r="BJ61" s="62" t="s">
        <v>395</v>
      </c>
      <c r="BK61" s="29" t="b">
        <v>0</v>
      </c>
      <c r="BL61" s="29" t="b">
        <v>0</v>
      </c>
      <c r="BM61" s="29">
        <v>0</v>
      </c>
      <c r="BN61" s="29">
        <v>0</v>
      </c>
      <c r="BO61" s="29">
        <v>0</v>
      </c>
      <c r="BP61" s="29">
        <v>0</v>
      </c>
      <c r="BQ61" s="29" t="b">
        <v>0</v>
      </c>
      <c r="BR61" s="29">
        <v>0</v>
      </c>
      <c r="BS61" s="53">
        <v>0</v>
      </c>
      <c r="BT61" s="62" t="b">
        <v>0</v>
      </c>
      <c r="BU61" s="29" t="b">
        <v>0</v>
      </c>
      <c r="BV61" s="29" t="b">
        <v>0</v>
      </c>
      <c r="BW61" s="29" t="s">
        <v>79</v>
      </c>
      <c r="BX61" s="62" t="b">
        <v>0</v>
      </c>
      <c r="BY61" s="62" t="s">
        <v>431</v>
      </c>
    </row>
    <row r="62" spans="1:77" x14ac:dyDescent="0.2">
      <c r="A62" s="18" t="s">
        <v>704</v>
      </c>
      <c r="B62" s="133" t="s">
        <v>705</v>
      </c>
      <c r="C62" s="17" t="s">
        <v>122</v>
      </c>
      <c r="D62" s="164" t="s">
        <v>612</v>
      </c>
      <c r="E62" s="164" t="s">
        <v>612</v>
      </c>
      <c r="F62" s="63" t="s">
        <v>121</v>
      </c>
      <c r="G62" s="19" t="s">
        <v>376</v>
      </c>
      <c r="H62" s="29" t="b">
        <v>0</v>
      </c>
      <c r="I62" s="37" t="s">
        <v>79</v>
      </c>
      <c r="J62" s="17" t="s">
        <v>79</v>
      </c>
      <c r="K62" s="29" t="b">
        <v>0</v>
      </c>
      <c r="L62" s="70">
        <v>0</v>
      </c>
      <c r="M62" s="19">
        <v>100</v>
      </c>
      <c r="N62" s="29">
        <v>0</v>
      </c>
      <c r="O62" s="29">
        <v>0</v>
      </c>
      <c r="P62" s="29">
        <v>0</v>
      </c>
      <c r="Q62" s="29">
        <v>0</v>
      </c>
      <c r="R62" s="31">
        <v>0.97099999999999997</v>
      </c>
      <c r="S62" s="31">
        <v>0.33</v>
      </c>
      <c r="T62" s="72">
        <v>2.9000000000000001E-2</v>
      </c>
      <c r="U62" s="29">
        <v>0</v>
      </c>
      <c r="V62" s="29">
        <v>0</v>
      </c>
      <c r="W62" s="75">
        <v>1</v>
      </c>
      <c r="X62" s="29">
        <v>0</v>
      </c>
      <c r="Y62" s="29">
        <v>0</v>
      </c>
      <c r="Z62" s="29">
        <v>0</v>
      </c>
      <c r="AA62" s="29">
        <v>0</v>
      </c>
      <c r="AB62" s="134">
        <v>118.5181</v>
      </c>
      <c r="AC62" s="134">
        <v>3.16</v>
      </c>
      <c r="AD62" s="29">
        <v>0</v>
      </c>
      <c r="AE62" s="53">
        <v>0</v>
      </c>
      <c r="AF62" s="53">
        <v>0</v>
      </c>
      <c r="AG62" s="53">
        <v>0</v>
      </c>
      <c r="AH62" s="31">
        <v>0.3</v>
      </c>
      <c r="AI62" s="31">
        <v>0.24</v>
      </c>
      <c r="AJ62" s="29">
        <v>0.18</v>
      </c>
      <c r="AK62" s="29">
        <v>0.15</v>
      </c>
      <c r="AL62" s="62">
        <v>32</v>
      </c>
      <c r="AM62" s="135">
        <v>35</v>
      </c>
      <c r="AN62" s="31">
        <v>7.0000000000000001E-3</v>
      </c>
      <c r="AO62" s="31">
        <v>7.0000000000000007E-2</v>
      </c>
      <c r="AP62" s="31">
        <v>7.0000000000000007E-2</v>
      </c>
      <c r="AQ62" s="31">
        <v>3.5000000000000003E-2</v>
      </c>
      <c r="AR62" s="31">
        <v>7.0000000000000007E-2</v>
      </c>
      <c r="AS62" s="130">
        <v>0</v>
      </c>
      <c r="AT62" s="29">
        <v>0</v>
      </c>
      <c r="AU62" s="29">
        <v>0</v>
      </c>
      <c r="AV62" s="71">
        <v>0</v>
      </c>
      <c r="AW62" s="71">
        <v>0</v>
      </c>
      <c r="AX62" s="71">
        <v>0</v>
      </c>
      <c r="AY62" s="71">
        <v>0</v>
      </c>
      <c r="AZ62" s="19">
        <v>0.88</v>
      </c>
      <c r="BA62" s="65">
        <v>2.94</v>
      </c>
      <c r="BB62" s="29" t="b">
        <v>1</v>
      </c>
      <c r="BC62" s="29" t="b">
        <v>0</v>
      </c>
      <c r="BD62" s="29" t="s">
        <v>79</v>
      </c>
      <c r="BE62" s="29" t="b">
        <v>1</v>
      </c>
      <c r="BF62" s="29" t="b">
        <v>0</v>
      </c>
      <c r="BG62" s="62" t="b">
        <v>0</v>
      </c>
      <c r="BH62" s="30">
        <v>0.97099999999999997</v>
      </c>
      <c r="BI62" s="29" t="b">
        <v>0</v>
      </c>
      <c r="BJ62" s="74">
        <v>6.9200000000000002E-4</v>
      </c>
      <c r="BK62" s="29" t="b">
        <v>0</v>
      </c>
      <c r="BL62" s="29" t="b">
        <v>0</v>
      </c>
      <c r="BM62" s="29">
        <v>0</v>
      </c>
      <c r="BN62" s="29">
        <v>0</v>
      </c>
      <c r="BO62" s="29">
        <v>0</v>
      </c>
      <c r="BP62" s="29">
        <v>0</v>
      </c>
      <c r="BQ62" s="29" t="b">
        <v>0</v>
      </c>
      <c r="BR62" s="29">
        <v>0</v>
      </c>
      <c r="BS62" s="53">
        <v>0</v>
      </c>
      <c r="BT62" s="62" t="b">
        <v>0</v>
      </c>
      <c r="BU62" s="29" t="b">
        <v>0</v>
      </c>
      <c r="BV62" s="29" t="b">
        <v>0</v>
      </c>
      <c r="BW62" s="29" t="s">
        <v>79</v>
      </c>
      <c r="BX62" s="62" t="b">
        <v>0</v>
      </c>
      <c r="BY62" s="62" t="s">
        <v>431</v>
      </c>
    </row>
    <row r="63" spans="1:77" x14ac:dyDescent="0.2">
      <c r="A63" s="18" t="s">
        <v>706</v>
      </c>
      <c r="B63" s="133" t="s">
        <v>707</v>
      </c>
      <c r="C63" s="17" t="s">
        <v>122</v>
      </c>
      <c r="D63" s="164" t="s">
        <v>612</v>
      </c>
      <c r="E63" s="164" t="s">
        <v>612</v>
      </c>
      <c r="F63" s="63" t="s">
        <v>121</v>
      </c>
      <c r="G63" s="19" t="s">
        <v>376</v>
      </c>
      <c r="H63" s="29" t="b">
        <v>0</v>
      </c>
      <c r="I63" s="37" t="s">
        <v>79</v>
      </c>
      <c r="J63" s="17" t="s">
        <v>79</v>
      </c>
      <c r="K63" s="29" t="b">
        <v>0</v>
      </c>
      <c r="L63" s="70">
        <v>0</v>
      </c>
      <c r="M63" s="19">
        <v>100</v>
      </c>
      <c r="N63" s="29">
        <v>0</v>
      </c>
      <c r="O63" s="29">
        <v>0</v>
      </c>
      <c r="P63" s="29">
        <v>0</v>
      </c>
      <c r="Q63" s="29">
        <v>0</v>
      </c>
      <c r="R63" s="31">
        <v>0.97099999999999997</v>
      </c>
      <c r="S63" s="31">
        <v>0.33</v>
      </c>
      <c r="T63" s="72">
        <v>2.9000000000000001E-2</v>
      </c>
      <c r="U63" s="29">
        <v>0</v>
      </c>
      <c r="V63" s="29">
        <v>0</v>
      </c>
      <c r="W63" s="75">
        <v>1</v>
      </c>
      <c r="X63" s="29">
        <v>0</v>
      </c>
      <c r="Y63" s="29">
        <v>0</v>
      </c>
      <c r="Z63" s="29">
        <v>0</v>
      </c>
      <c r="AA63" s="29">
        <v>0</v>
      </c>
      <c r="AB63" s="134">
        <v>106.4819</v>
      </c>
      <c r="AC63" s="134">
        <v>0</v>
      </c>
      <c r="AD63" s="29">
        <v>0</v>
      </c>
      <c r="AE63" s="53">
        <v>0</v>
      </c>
      <c r="AF63" s="53">
        <v>0</v>
      </c>
      <c r="AG63" s="53">
        <v>0</v>
      </c>
      <c r="AH63" s="31">
        <v>0.3</v>
      </c>
      <c r="AI63" s="31">
        <v>0.24</v>
      </c>
      <c r="AJ63" s="29">
        <v>0.18</v>
      </c>
      <c r="AK63" s="29">
        <v>0.15</v>
      </c>
      <c r="AL63" s="62">
        <v>32</v>
      </c>
      <c r="AM63" s="135">
        <v>35</v>
      </c>
      <c r="AN63" s="31">
        <v>7.0000000000000001E-3</v>
      </c>
      <c r="AO63" s="31">
        <v>7.0000000000000007E-2</v>
      </c>
      <c r="AP63" s="31">
        <v>7.0000000000000007E-2</v>
      </c>
      <c r="AQ63" s="31">
        <v>3.5000000000000003E-2</v>
      </c>
      <c r="AR63" s="31">
        <v>7.0000000000000007E-2</v>
      </c>
      <c r="AS63" s="130">
        <v>2.33</v>
      </c>
      <c r="AT63" s="29">
        <v>0</v>
      </c>
      <c r="AU63" s="29">
        <v>0</v>
      </c>
      <c r="AV63" s="71">
        <v>8.1549999999999997E-2</v>
      </c>
      <c r="AW63" s="71">
        <v>0</v>
      </c>
      <c r="AX63" s="71">
        <v>0</v>
      </c>
      <c r="AY63" s="71">
        <v>0</v>
      </c>
      <c r="AZ63" s="19">
        <v>0.88</v>
      </c>
      <c r="BA63" s="65">
        <v>2.94</v>
      </c>
      <c r="BB63" s="29" t="b">
        <v>1</v>
      </c>
      <c r="BC63" s="29" t="b">
        <v>0</v>
      </c>
      <c r="BD63" s="29" t="s">
        <v>79</v>
      </c>
      <c r="BE63" s="29" t="b">
        <v>1</v>
      </c>
      <c r="BF63" s="29" t="b">
        <v>0</v>
      </c>
      <c r="BG63" s="62" t="b">
        <v>0</v>
      </c>
      <c r="BH63" s="30">
        <v>0.97099999999999997</v>
      </c>
      <c r="BI63" s="29" t="b">
        <v>0</v>
      </c>
      <c r="BJ63" s="74">
        <v>6.9200000000000002E-4</v>
      </c>
      <c r="BK63" s="29" t="b">
        <v>0</v>
      </c>
      <c r="BL63" s="29" t="b">
        <v>0</v>
      </c>
      <c r="BM63" s="29">
        <v>0</v>
      </c>
      <c r="BN63" s="29">
        <v>0</v>
      </c>
      <c r="BO63" s="29">
        <v>0</v>
      </c>
      <c r="BP63" s="29">
        <v>0</v>
      </c>
      <c r="BQ63" s="29" t="b">
        <v>0</v>
      </c>
      <c r="BR63" s="29">
        <v>0</v>
      </c>
      <c r="BS63" s="53">
        <v>0</v>
      </c>
      <c r="BT63" s="62" t="b">
        <v>0</v>
      </c>
      <c r="BU63" s="29" t="b">
        <v>0</v>
      </c>
      <c r="BV63" s="29" t="b">
        <v>0</v>
      </c>
      <c r="BW63" s="29" t="s">
        <v>79</v>
      </c>
      <c r="BX63" s="62" t="b">
        <v>0</v>
      </c>
      <c r="BY63" s="62" t="s">
        <v>431</v>
      </c>
    </row>
    <row r="64" spans="1:77" x14ac:dyDescent="0.2">
      <c r="A64" s="18" t="s">
        <v>708</v>
      </c>
      <c r="B64" s="133" t="s">
        <v>709</v>
      </c>
      <c r="C64" s="17" t="s">
        <v>122</v>
      </c>
      <c r="D64" s="164" t="s">
        <v>195</v>
      </c>
      <c r="E64" s="164" t="s">
        <v>195</v>
      </c>
      <c r="F64" s="63" t="s">
        <v>710</v>
      </c>
      <c r="G64" s="19" t="s">
        <v>376</v>
      </c>
      <c r="H64" s="29" t="b">
        <v>0</v>
      </c>
      <c r="I64" s="37" t="s">
        <v>79</v>
      </c>
      <c r="J64" s="17" t="s">
        <v>79</v>
      </c>
      <c r="K64" s="29" t="b">
        <v>0</v>
      </c>
      <c r="L64" s="70">
        <v>0</v>
      </c>
      <c r="M64" s="19">
        <v>300</v>
      </c>
      <c r="N64" s="29">
        <v>0</v>
      </c>
      <c r="O64" s="29">
        <v>0</v>
      </c>
      <c r="P64" s="29">
        <v>0</v>
      </c>
      <c r="Q64" s="29">
        <v>0</v>
      </c>
      <c r="R64" s="31">
        <v>0.96799999999999997</v>
      </c>
      <c r="S64" s="31">
        <v>0.45</v>
      </c>
      <c r="T64" s="72">
        <v>3.2000000000000001E-2</v>
      </c>
      <c r="U64" s="29">
        <v>0</v>
      </c>
      <c r="V64" s="29">
        <v>0</v>
      </c>
      <c r="W64" s="75">
        <v>1</v>
      </c>
      <c r="X64" s="29">
        <v>0</v>
      </c>
      <c r="Y64" s="29">
        <v>0</v>
      </c>
      <c r="Z64" s="29">
        <v>0</v>
      </c>
      <c r="AA64" s="29">
        <v>0</v>
      </c>
      <c r="AB64" s="134">
        <v>12.7296</v>
      </c>
      <c r="AC64" s="134">
        <v>4.5328999999999997</v>
      </c>
      <c r="AD64" s="29" t="s">
        <v>568</v>
      </c>
      <c r="AE64" s="53">
        <v>3.5424000000000002</v>
      </c>
      <c r="AF64" s="53">
        <v>139.29750000000001</v>
      </c>
      <c r="AG64" s="53">
        <v>139.29750000000001</v>
      </c>
      <c r="AH64" s="31">
        <v>0.3</v>
      </c>
      <c r="AI64" s="31">
        <v>0.24</v>
      </c>
      <c r="AJ64" s="29">
        <v>0.18</v>
      </c>
      <c r="AK64" s="29">
        <v>0.15</v>
      </c>
      <c r="AL64" s="62">
        <v>50</v>
      </c>
      <c r="AM64" s="135">
        <v>17.100000000000001</v>
      </c>
      <c r="AN64" s="31">
        <v>0.08</v>
      </c>
      <c r="AO64" s="31">
        <v>0.8</v>
      </c>
      <c r="AP64" s="31">
        <v>0.8</v>
      </c>
      <c r="AQ64" s="31">
        <v>0.4</v>
      </c>
      <c r="AR64" s="31">
        <v>0.8</v>
      </c>
      <c r="AS64" s="130">
        <v>72.22</v>
      </c>
      <c r="AT64" s="29">
        <v>0</v>
      </c>
      <c r="AU64" s="29">
        <v>0</v>
      </c>
      <c r="AV64" s="71">
        <v>1.2349619999999999</v>
      </c>
      <c r="AW64" s="71">
        <v>0</v>
      </c>
      <c r="AX64" s="71">
        <v>0</v>
      </c>
      <c r="AY64" s="71">
        <v>0</v>
      </c>
      <c r="AZ64" s="19">
        <v>0.87</v>
      </c>
      <c r="BA64" s="65">
        <v>5.29</v>
      </c>
      <c r="BB64" s="29" t="b">
        <v>0</v>
      </c>
      <c r="BC64" s="29" t="b">
        <v>0</v>
      </c>
      <c r="BD64" s="29" t="s">
        <v>79</v>
      </c>
      <c r="BE64" s="29" t="b">
        <v>0</v>
      </c>
      <c r="BF64" s="29" t="b">
        <v>0</v>
      </c>
      <c r="BG64" s="62" t="b">
        <v>0</v>
      </c>
      <c r="BH64" s="30">
        <v>0.96799999999999997</v>
      </c>
      <c r="BI64" s="29" t="b">
        <v>0</v>
      </c>
      <c r="BJ64" s="62" t="s">
        <v>392</v>
      </c>
      <c r="BK64" s="29" t="b">
        <v>0</v>
      </c>
      <c r="BL64" s="29" t="b">
        <v>0</v>
      </c>
      <c r="BM64" s="29">
        <v>0</v>
      </c>
      <c r="BN64" s="29">
        <v>0</v>
      </c>
      <c r="BO64" s="29">
        <v>0</v>
      </c>
      <c r="BP64" s="29">
        <v>0</v>
      </c>
      <c r="BQ64" s="29" t="b">
        <v>0</v>
      </c>
      <c r="BR64" s="29">
        <v>0</v>
      </c>
      <c r="BS64" s="53">
        <v>0</v>
      </c>
      <c r="BT64" s="62" t="b">
        <v>0</v>
      </c>
      <c r="BU64" s="29" t="b">
        <v>0</v>
      </c>
      <c r="BV64" s="29" t="b">
        <v>0</v>
      </c>
      <c r="BW64" s="29" t="s">
        <v>79</v>
      </c>
      <c r="BX64" s="62" t="b">
        <v>0</v>
      </c>
      <c r="BY64" s="62" t="s">
        <v>431</v>
      </c>
    </row>
    <row r="65" spans="1:77" x14ac:dyDescent="0.2">
      <c r="A65" s="18" t="s">
        <v>711</v>
      </c>
      <c r="B65" s="133" t="s">
        <v>712</v>
      </c>
      <c r="C65" s="17" t="s">
        <v>122</v>
      </c>
      <c r="D65" s="164" t="s">
        <v>195</v>
      </c>
      <c r="E65" s="164" t="s">
        <v>195</v>
      </c>
      <c r="F65" s="63" t="s">
        <v>713</v>
      </c>
      <c r="G65" s="19" t="s">
        <v>376</v>
      </c>
      <c r="H65" s="29" t="b">
        <v>0</v>
      </c>
      <c r="I65" s="37" t="s">
        <v>79</v>
      </c>
      <c r="J65" s="17" t="s">
        <v>79</v>
      </c>
      <c r="K65" s="29" t="b">
        <v>0</v>
      </c>
      <c r="L65" s="70">
        <v>0</v>
      </c>
      <c r="M65" s="19">
        <v>300</v>
      </c>
      <c r="N65" s="29">
        <v>0</v>
      </c>
      <c r="O65" s="29">
        <v>0</v>
      </c>
      <c r="P65" s="29">
        <v>0</v>
      </c>
      <c r="Q65" s="29">
        <v>0</v>
      </c>
      <c r="R65" s="31">
        <v>0.96799999999999997</v>
      </c>
      <c r="S65" s="31">
        <v>0.45</v>
      </c>
      <c r="T65" s="72">
        <v>3.2000000000000001E-2</v>
      </c>
      <c r="U65" s="29">
        <v>0</v>
      </c>
      <c r="V65" s="29">
        <v>0</v>
      </c>
      <c r="W65" s="75">
        <v>1</v>
      </c>
      <c r="X65" s="29">
        <v>0</v>
      </c>
      <c r="Y65" s="29">
        <v>0</v>
      </c>
      <c r="Z65" s="29">
        <v>0</v>
      </c>
      <c r="AA65" s="29">
        <v>0</v>
      </c>
      <c r="AB65" s="134">
        <v>4.2854999999999999</v>
      </c>
      <c r="AC65" s="134">
        <v>15.7309</v>
      </c>
      <c r="AD65" s="29" t="s">
        <v>568</v>
      </c>
      <c r="AE65" s="53">
        <v>3.5424000000000002</v>
      </c>
      <c r="AF65" s="53">
        <v>139.29750000000001</v>
      </c>
      <c r="AG65" s="53">
        <v>139.29750000000001</v>
      </c>
      <c r="AH65" s="31">
        <v>0.3</v>
      </c>
      <c r="AI65" s="31">
        <v>0.24</v>
      </c>
      <c r="AJ65" s="29">
        <v>0.18</v>
      </c>
      <c r="AK65" s="29">
        <v>0.15</v>
      </c>
      <c r="AL65" s="62">
        <v>50</v>
      </c>
      <c r="AM65" s="135">
        <v>11</v>
      </c>
      <c r="AN65" s="31">
        <v>0.08</v>
      </c>
      <c r="AO65" s="31">
        <v>0.8</v>
      </c>
      <c r="AP65" s="31">
        <v>0.8</v>
      </c>
      <c r="AQ65" s="31">
        <v>0.4</v>
      </c>
      <c r="AR65" s="31">
        <v>0.8</v>
      </c>
      <c r="AS65" s="130">
        <v>72.22</v>
      </c>
      <c r="AT65" s="29">
        <v>0</v>
      </c>
      <c r="AU65" s="29">
        <v>0</v>
      </c>
      <c r="AV65" s="71">
        <v>0.7944199999999999</v>
      </c>
      <c r="AW65" s="71">
        <v>0</v>
      </c>
      <c r="AX65" s="71">
        <v>0</v>
      </c>
      <c r="AY65" s="71">
        <v>0</v>
      </c>
      <c r="AZ65" s="19">
        <v>0.87</v>
      </c>
      <c r="BA65" s="65">
        <v>5.29</v>
      </c>
      <c r="BB65" s="29" t="b">
        <v>0</v>
      </c>
      <c r="BC65" s="29" t="b">
        <v>0</v>
      </c>
      <c r="BD65" s="29" t="s">
        <v>79</v>
      </c>
      <c r="BE65" s="29" t="b">
        <v>0</v>
      </c>
      <c r="BF65" s="29" t="b">
        <v>0</v>
      </c>
      <c r="BG65" s="62" t="b">
        <v>0</v>
      </c>
      <c r="BH65" s="30">
        <v>0.96799999999999997</v>
      </c>
      <c r="BI65" s="29" t="b">
        <v>0</v>
      </c>
      <c r="BJ65" s="62" t="s">
        <v>392</v>
      </c>
      <c r="BK65" s="29" t="b">
        <v>0</v>
      </c>
      <c r="BL65" s="29" t="b">
        <v>0</v>
      </c>
      <c r="BM65" s="29">
        <v>0</v>
      </c>
      <c r="BN65" s="29">
        <v>0</v>
      </c>
      <c r="BO65" s="29">
        <v>0</v>
      </c>
      <c r="BP65" s="29">
        <v>0</v>
      </c>
      <c r="BQ65" s="29" t="b">
        <v>0</v>
      </c>
      <c r="BR65" s="29">
        <v>0</v>
      </c>
      <c r="BS65" s="53">
        <v>0</v>
      </c>
      <c r="BT65" s="62" t="b">
        <v>0</v>
      </c>
      <c r="BU65" s="29" t="b">
        <v>0</v>
      </c>
      <c r="BV65" s="29" t="b">
        <v>0</v>
      </c>
      <c r="BW65" s="29" t="s">
        <v>79</v>
      </c>
      <c r="BX65" s="62" t="b">
        <v>0</v>
      </c>
      <c r="BY65" s="62" t="s">
        <v>431</v>
      </c>
    </row>
    <row r="66" spans="1:77" x14ac:dyDescent="0.2">
      <c r="A66" s="18" t="s">
        <v>714</v>
      </c>
      <c r="B66" s="133" t="s">
        <v>715</v>
      </c>
      <c r="C66" s="17" t="s">
        <v>122</v>
      </c>
      <c r="D66" s="164" t="s">
        <v>195</v>
      </c>
      <c r="E66" s="164" t="s">
        <v>195</v>
      </c>
      <c r="F66" s="63" t="s">
        <v>713</v>
      </c>
      <c r="G66" s="19" t="s">
        <v>376</v>
      </c>
      <c r="H66" s="29" t="b">
        <v>0</v>
      </c>
      <c r="I66" s="37" t="s">
        <v>79</v>
      </c>
      <c r="J66" s="17" t="s">
        <v>79</v>
      </c>
      <c r="K66" s="29" t="b">
        <v>0</v>
      </c>
      <c r="L66" s="70">
        <v>0</v>
      </c>
      <c r="M66" s="19">
        <v>300</v>
      </c>
      <c r="N66" s="29">
        <v>0</v>
      </c>
      <c r="O66" s="29">
        <v>0</v>
      </c>
      <c r="P66" s="29">
        <v>0</v>
      </c>
      <c r="Q66" s="29">
        <v>0</v>
      </c>
      <c r="R66" s="31">
        <v>0.96799999999999997</v>
      </c>
      <c r="S66" s="31">
        <v>0.45</v>
      </c>
      <c r="T66" s="72">
        <v>3.2000000000000001E-2</v>
      </c>
      <c r="U66" s="29">
        <v>0</v>
      </c>
      <c r="V66" s="29">
        <v>0</v>
      </c>
      <c r="W66" s="75">
        <v>1</v>
      </c>
      <c r="X66" s="29">
        <v>0</v>
      </c>
      <c r="Y66" s="29">
        <v>0</v>
      </c>
      <c r="Z66" s="29">
        <v>0</v>
      </c>
      <c r="AA66" s="29">
        <v>0</v>
      </c>
      <c r="AB66" s="134">
        <v>39.691400000000002</v>
      </c>
      <c r="AC66" s="134">
        <v>6.5467000000000004</v>
      </c>
      <c r="AD66" s="29" t="s">
        <v>568</v>
      </c>
      <c r="AE66" s="53">
        <v>3.5424000000000002</v>
      </c>
      <c r="AF66" s="53">
        <v>139.29750000000001</v>
      </c>
      <c r="AG66" s="53">
        <v>139.29750000000001</v>
      </c>
      <c r="AH66" s="31">
        <v>0.3</v>
      </c>
      <c r="AI66" s="31">
        <v>0.24</v>
      </c>
      <c r="AJ66" s="29">
        <v>0.18</v>
      </c>
      <c r="AK66" s="29">
        <v>0.15</v>
      </c>
      <c r="AL66" s="62">
        <v>50</v>
      </c>
      <c r="AM66" s="135">
        <v>12</v>
      </c>
      <c r="AN66" s="31">
        <v>0.08</v>
      </c>
      <c r="AO66" s="31">
        <v>0.8</v>
      </c>
      <c r="AP66" s="31">
        <v>0.8</v>
      </c>
      <c r="AQ66" s="31">
        <v>0.4</v>
      </c>
      <c r="AR66" s="31">
        <v>0.8</v>
      </c>
      <c r="AS66" s="130">
        <v>72.22</v>
      </c>
      <c r="AT66" s="29">
        <v>0</v>
      </c>
      <c r="AU66" s="29">
        <v>0</v>
      </c>
      <c r="AV66" s="71">
        <v>0.86663999999999997</v>
      </c>
      <c r="AW66" s="71">
        <v>0</v>
      </c>
      <c r="AX66" s="71">
        <v>0</v>
      </c>
      <c r="AY66" s="71">
        <v>0</v>
      </c>
      <c r="AZ66" s="19">
        <v>0.87</v>
      </c>
      <c r="BA66" s="65">
        <v>5.29</v>
      </c>
      <c r="BB66" s="29" t="b">
        <v>0</v>
      </c>
      <c r="BC66" s="29" t="b">
        <v>0</v>
      </c>
      <c r="BD66" s="29" t="s">
        <v>79</v>
      </c>
      <c r="BE66" s="29" t="b">
        <v>0</v>
      </c>
      <c r="BF66" s="29" t="b">
        <v>0</v>
      </c>
      <c r="BG66" s="62" t="b">
        <v>0</v>
      </c>
      <c r="BH66" s="30">
        <v>0.96799999999999997</v>
      </c>
      <c r="BI66" s="29" t="b">
        <v>0</v>
      </c>
      <c r="BJ66" s="62" t="s">
        <v>392</v>
      </c>
      <c r="BK66" s="29" t="b">
        <v>0</v>
      </c>
      <c r="BL66" s="29" t="b">
        <v>0</v>
      </c>
      <c r="BM66" s="29">
        <v>0</v>
      </c>
      <c r="BN66" s="29">
        <v>0</v>
      </c>
      <c r="BO66" s="29">
        <v>0</v>
      </c>
      <c r="BP66" s="29">
        <v>0</v>
      </c>
      <c r="BQ66" s="29" t="b">
        <v>0</v>
      </c>
      <c r="BR66" s="29">
        <v>0</v>
      </c>
      <c r="BS66" s="53">
        <v>0</v>
      </c>
      <c r="BT66" s="62" t="b">
        <v>0</v>
      </c>
      <c r="BU66" s="29" t="b">
        <v>0</v>
      </c>
      <c r="BV66" s="29" t="b">
        <v>0</v>
      </c>
      <c r="BW66" s="29" t="s">
        <v>79</v>
      </c>
      <c r="BX66" s="62" t="b">
        <v>0</v>
      </c>
      <c r="BY66" s="62" t="s">
        <v>431</v>
      </c>
    </row>
    <row r="67" spans="1:77" x14ac:dyDescent="0.2">
      <c r="A67" s="18" t="s">
        <v>716</v>
      </c>
      <c r="B67" s="133" t="s">
        <v>717</v>
      </c>
      <c r="C67" s="17" t="s">
        <v>122</v>
      </c>
      <c r="D67" s="164" t="s">
        <v>195</v>
      </c>
      <c r="E67" s="164" t="s">
        <v>195</v>
      </c>
      <c r="F67" s="63" t="s">
        <v>713</v>
      </c>
      <c r="G67" s="19" t="s">
        <v>376</v>
      </c>
      <c r="H67" s="29" t="b">
        <v>0</v>
      </c>
      <c r="I67" s="37" t="s">
        <v>79</v>
      </c>
      <c r="J67" s="17" t="s">
        <v>79</v>
      </c>
      <c r="K67" s="29" t="b">
        <v>0</v>
      </c>
      <c r="L67" s="70">
        <v>0</v>
      </c>
      <c r="M67" s="19">
        <v>300</v>
      </c>
      <c r="N67" s="29">
        <v>0</v>
      </c>
      <c r="O67" s="29">
        <v>0</v>
      </c>
      <c r="P67" s="29">
        <v>0</v>
      </c>
      <c r="Q67" s="29">
        <v>0</v>
      </c>
      <c r="R67" s="31">
        <v>0.96799999999999997</v>
      </c>
      <c r="S67" s="31">
        <v>0.45</v>
      </c>
      <c r="T67" s="72">
        <v>3.2000000000000001E-2</v>
      </c>
      <c r="U67" s="29">
        <v>0</v>
      </c>
      <c r="V67" s="29">
        <v>0</v>
      </c>
      <c r="W67" s="75">
        <v>1</v>
      </c>
      <c r="X67" s="29">
        <v>0</v>
      </c>
      <c r="Y67" s="29">
        <v>0</v>
      </c>
      <c r="Z67" s="29">
        <v>0</v>
      </c>
      <c r="AA67" s="29">
        <v>0</v>
      </c>
      <c r="AB67" s="134">
        <v>39.691400000000002</v>
      </c>
      <c r="AC67" s="134">
        <v>6.5467000000000004</v>
      </c>
      <c r="AD67" s="29" t="s">
        <v>568</v>
      </c>
      <c r="AE67" s="53">
        <v>3.5424000000000002</v>
      </c>
      <c r="AF67" s="53">
        <v>139.29750000000001</v>
      </c>
      <c r="AG67" s="53">
        <v>139.29750000000001</v>
      </c>
      <c r="AH67" s="31">
        <v>0.3</v>
      </c>
      <c r="AI67" s="31">
        <v>0.24</v>
      </c>
      <c r="AJ67" s="29">
        <v>0.18</v>
      </c>
      <c r="AK67" s="29">
        <v>0.15</v>
      </c>
      <c r="AL67" s="62">
        <v>50</v>
      </c>
      <c r="AM67" s="135">
        <v>13</v>
      </c>
      <c r="AN67" s="31">
        <v>0.08</v>
      </c>
      <c r="AO67" s="31">
        <v>0.8</v>
      </c>
      <c r="AP67" s="31">
        <v>0.8</v>
      </c>
      <c r="AQ67" s="31">
        <v>0.4</v>
      </c>
      <c r="AR67" s="31">
        <v>0.8</v>
      </c>
      <c r="AS67" s="130">
        <v>72.22</v>
      </c>
      <c r="AT67" s="29">
        <v>0</v>
      </c>
      <c r="AU67" s="29">
        <v>0</v>
      </c>
      <c r="AV67" s="71">
        <v>0.93886000000000003</v>
      </c>
      <c r="AW67" s="71">
        <v>0</v>
      </c>
      <c r="AX67" s="71">
        <v>0</v>
      </c>
      <c r="AY67" s="71">
        <v>0</v>
      </c>
      <c r="AZ67" s="19">
        <v>0.87</v>
      </c>
      <c r="BA67" s="65">
        <v>5.29</v>
      </c>
      <c r="BB67" s="29" t="b">
        <v>0</v>
      </c>
      <c r="BC67" s="29" t="b">
        <v>0</v>
      </c>
      <c r="BD67" s="29" t="s">
        <v>79</v>
      </c>
      <c r="BE67" s="29" t="b">
        <v>0</v>
      </c>
      <c r="BF67" s="29" t="b">
        <v>0</v>
      </c>
      <c r="BG67" s="62" t="b">
        <v>0</v>
      </c>
      <c r="BH67" s="30">
        <v>0.96799999999999997</v>
      </c>
      <c r="BI67" s="29" t="b">
        <v>0</v>
      </c>
      <c r="BJ67" s="62" t="s">
        <v>392</v>
      </c>
      <c r="BK67" s="29" t="b">
        <v>0</v>
      </c>
      <c r="BL67" s="29" t="b">
        <v>0</v>
      </c>
      <c r="BM67" s="29">
        <v>0</v>
      </c>
      <c r="BN67" s="29">
        <v>0</v>
      </c>
      <c r="BO67" s="29">
        <v>0</v>
      </c>
      <c r="BP67" s="29">
        <v>0</v>
      </c>
      <c r="BQ67" s="29" t="b">
        <v>0</v>
      </c>
      <c r="BR67" s="29">
        <v>0</v>
      </c>
      <c r="BS67" s="53">
        <v>0</v>
      </c>
      <c r="BT67" s="62" t="b">
        <v>0</v>
      </c>
      <c r="BU67" s="29" t="b">
        <v>0</v>
      </c>
      <c r="BV67" s="29" t="b">
        <v>0</v>
      </c>
      <c r="BW67" s="29" t="s">
        <v>79</v>
      </c>
      <c r="BX67" s="62" t="b">
        <v>0</v>
      </c>
      <c r="BY67" s="62" t="s">
        <v>431</v>
      </c>
    </row>
    <row r="68" spans="1:77" x14ac:dyDescent="0.2">
      <c r="A68" s="18" t="s">
        <v>718</v>
      </c>
      <c r="B68" s="133" t="s">
        <v>719</v>
      </c>
      <c r="C68" s="17" t="s">
        <v>122</v>
      </c>
      <c r="D68" s="164" t="s">
        <v>195</v>
      </c>
      <c r="E68" s="164" t="s">
        <v>195</v>
      </c>
      <c r="F68" s="63" t="s">
        <v>713</v>
      </c>
      <c r="G68" s="19" t="s">
        <v>376</v>
      </c>
      <c r="H68" s="29" t="b">
        <v>0</v>
      </c>
      <c r="I68" s="37" t="s">
        <v>79</v>
      </c>
      <c r="J68" s="17" t="s">
        <v>79</v>
      </c>
      <c r="K68" s="29" t="b">
        <v>0</v>
      </c>
      <c r="L68" s="70">
        <v>0</v>
      </c>
      <c r="M68" s="19">
        <v>300</v>
      </c>
      <c r="N68" s="29">
        <v>0</v>
      </c>
      <c r="O68" s="29">
        <v>0</v>
      </c>
      <c r="P68" s="29">
        <v>0</v>
      </c>
      <c r="Q68" s="29">
        <v>0</v>
      </c>
      <c r="R68" s="31">
        <v>0.96799999999999997</v>
      </c>
      <c r="S68" s="31">
        <v>0.45</v>
      </c>
      <c r="T68" s="72">
        <v>3.2000000000000001E-2</v>
      </c>
      <c r="U68" s="29">
        <v>0</v>
      </c>
      <c r="V68" s="29">
        <v>0</v>
      </c>
      <c r="W68" s="75">
        <v>1</v>
      </c>
      <c r="X68" s="29">
        <v>0</v>
      </c>
      <c r="Y68" s="29">
        <v>0</v>
      </c>
      <c r="Z68" s="29">
        <v>0</v>
      </c>
      <c r="AA68" s="29">
        <v>0</v>
      </c>
      <c r="AB68" s="134">
        <v>2.4464999999999999</v>
      </c>
      <c r="AC68" s="134">
        <v>4.7553999999999998</v>
      </c>
      <c r="AD68" s="29" t="s">
        <v>568</v>
      </c>
      <c r="AE68" s="53">
        <v>3.5424000000000002</v>
      </c>
      <c r="AF68" s="53">
        <v>139.29750000000001</v>
      </c>
      <c r="AG68" s="53">
        <v>139.29750000000001</v>
      </c>
      <c r="AH68" s="31">
        <v>0.3</v>
      </c>
      <c r="AI68" s="31">
        <v>0.24</v>
      </c>
      <c r="AJ68" s="29">
        <v>0.18</v>
      </c>
      <c r="AK68" s="29">
        <v>0.15</v>
      </c>
      <c r="AL68" s="62">
        <v>50</v>
      </c>
      <c r="AM68" s="135">
        <v>14</v>
      </c>
      <c r="AN68" s="31">
        <v>0.08</v>
      </c>
      <c r="AO68" s="31">
        <v>0.8</v>
      </c>
      <c r="AP68" s="31">
        <v>0.8</v>
      </c>
      <c r="AQ68" s="31">
        <v>0.4</v>
      </c>
      <c r="AR68" s="31">
        <v>0.8</v>
      </c>
      <c r="AS68" s="130">
        <v>72.22</v>
      </c>
      <c r="AT68" s="29">
        <v>0</v>
      </c>
      <c r="AU68" s="29">
        <v>0</v>
      </c>
      <c r="AV68" s="71">
        <v>1.01108</v>
      </c>
      <c r="AW68" s="71">
        <v>0</v>
      </c>
      <c r="AX68" s="71">
        <v>0</v>
      </c>
      <c r="AY68" s="71">
        <v>0</v>
      </c>
      <c r="AZ68" s="19">
        <v>0.87</v>
      </c>
      <c r="BA68" s="65">
        <v>5.29</v>
      </c>
      <c r="BB68" s="29" t="b">
        <v>0</v>
      </c>
      <c r="BC68" s="29" t="b">
        <v>0</v>
      </c>
      <c r="BD68" s="29" t="s">
        <v>79</v>
      </c>
      <c r="BE68" s="29" t="b">
        <v>0</v>
      </c>
      <c r="BF68" s="29" t="b">
        <v>0</v>
      </c>
      <c r="BG68" s="62" t="b">
        <v>0</v>
      </c>
      <c r="BH68" s="30">
        <v>0.96799999999999997</v>
      </c>
      <c r="BI68" s="29" t="b">
        <v>0</v>
      </c>
      <c r="BJ68" s="62" t="s">
        <v>392</v>
      </c>
      <c r="BK68" s="29" t="b">
        <v>0</v>
      </c>
      <c r="BL68" s="29" t="b">
        <v>0</v>
      </c>
      <c r="BM68" s="29">
        <v>0</v>
      </c>
      <c r="BN68" s="29">
        <v>0</v>
      </c>
      <c r="BO68" s="29">
        <v>0</v>
      </c>
      <c r="BP68" s="29">
        <v>0</v>
      </c>
      <c r="BQ68" s="29" t="b">
        <v>0</v>
      </c>
      <c r="BR68" s="29">
        <v>0</v>
      </c>
      <c r="BS68" s="53">
        <v>0</v>
      </c>
      <c r="BT68" s="62" t="b">
        <v>0</v>
      </c>
      <c r="BU68" s="29" t="b">
        <v>0</v>
      </c>
      <c r="BV68" s="29" t="b">
        <v>0</v>
      </c>
      <c r="BW68" s="29" t="s">
        <v>79</v>
      </c>
      <c r="BX68" s="62" t="b">
        <v>0</v>
      </c>
      <c r="BY68" s="62" t="s">
        <v>431</v>
      </c>
    </row>
    <row r="69" spans="1:77" x14ac:dyDescent="0.2">
      <c r="A69" s="18" t="s">
        <v>720</v>
      </c>
      <c r="B69" s="133" t="s">
        <v>721</v>
      </c>
      <c r="C69" s="17" t="s">
        <v>122</v>
      </c>
      <c r="D69" s="164" t="s">
        <v>195</v>
      </c>
      <c r="E69" s="164" t="s">
        <v>195</v>
      </c>
      <c r="F69" s="63" t="s">
        <v>713</v>
      </c>
      <c r="G69" s="19" t="s">
        <v>376</v>
      </c>
      <c r="H69" s="29" t="b">
        <v>0</v>
      </c>
      <c r="I69" s="37" t="s">
        <v>79</v>
      </c>
      <c r="J69" s="17" t="s">
        <v>79</v>
      </c>
      <c r="K69" s="29" t="b">
        <v>0</v>
      </c>
      <c r="L69" s="70">
        <v>0</v>
      </c>
      <c r="M69" s="19">
        <v>300</v>
      </c>
      <c r="N69" s="29">
        <v>0</v>
      </c>
      <c r="O69" s="29">
        <v>0</v>
      </c>
      <c r="P69" s="29">
        <v>0</v>
      </c>
      <c r="Q69" s="29">
        <v>0</v>
      </c>
      <c r="R69" s="31">
        <v>0.96799999999999997</v>
      </c>
      <c r="S69" s="31">
        <v>0.45</v>
      </c>
      <c r="T69" s="72">
        <v>3.2000000000000001E-2</v>
      </c>
      <c r="U69" s="29">
        <v>0</v>
      </c>
      <c r="V69" s="29">
        <v>0</v>
      </c>
      <c r="W69" s="75">
        <v>1</v>
      </c>
      <c r="X69" s="29">
        <v>0</v>
      </c>
      <c r="Y69" s="29">
        <v>0</v>
      </c>
      <c r="Z69" s="29">
        <v>0</v>
      </c>
      <c r="AA69" s="29">
        <v>0</v>
      </c>
      <c r="AB69" s="134">
        <v>14.0975</v>
      </c>
      <c r="AC69" s="134">
        <v>5.8002000000000002</v>
      </c>
      <c r="AD69" s="29" t="s">
        <v>568</v>
      </c>
      <c r="AE69" s="53">
        <v>3.5424000000000002</v>
      </c>
      <c r="AF69" s="53">
        <v>139.29750000000001</v>
      </c>
      <c r="AG69" s="53">
        <v>139.29750000000001</v>
      </c>
      <c r="AH69" s="31">
        <v>0.3</v>
      </c>
      <c r="AI69" s="31">
        <v>0.24</v>
      </c>
      <c r="AJ69" s="29">
        <v>0.18</v>
      </c>
      <c r="AK69" s="29">
        <v>0.15</v>
      </c>
      <c r="AL69" s="62">
        <v>50</v>
      </c>
      <c r="AM69" s="135">
        <v>15</v>
      </c>
      <c r="AN69" s="31">
        <v>0.08</v>
      </c>
      <c r="AO69" s="31">
        <v>0.8</v>
      </c>
      <c r="AP69" s="31">
        <v>0.8</v>
      </c>
      <c r="AQ69" s="31">
        <v>0.4</v>
      </c>
      <c r="AR69" s="31">
        <v>0.8</v>
      </c>
      <c r="AS69" s="130">
        <v>72.22</v>
      </c>
      <c r="AT69" s="29">
        <v>0</v>
      </c>
      <c r="AU69" s="29">
        <v>0</v>
      </c>
      <c r="AV69" s="71">
        <v>1.0832999999999999</v>
      </c>
      <c r="AW69" s="71">
        <v>0</v>
      </c>
      <c r="AX69" s="71">
        <v>0</v>
      </c>
      <c r="AY69" s="71">
        <v>0</v>
      </c>
      <c r="AZ69" s="19">
        <v>0.87</v>
      </c>
      <c r="BA69" s="65">
        <v>5.29</v>
      </c>
      <c r="BB69" s="29" t="b">
        <v>0</v>
      </c>
      <c r="BC69" s="29" t="b">
        <v>0</v>
      </c>
      <c r="BD69" s="29" t="s">
        <v>79</v>
      </c>
      <c r="BE69" s="29" t="b">
        <v>0</v>
      </c>
      <c r="BF69" s="29" t="b">
        <v>0</v>
      </c>
      <c r="BG69" s="62" t="b">
        <v>0</v>
      </c>
      <c r="BH69" s="30">
        <v>0.96799999999999997</v>
      </c>
      <c r="BI69" s="29" t="b">
        <v>0</v>
      </c>
      <c r="BJ69" s="62" t="s">
        <v>392</v>
      </c>
      <c r="BK69" s="29" t="b">
        <v>0</v>
      </c>
      <c r="BL69" s="29" t="b">
        <v>0</v>
      </c>
      <c r="BM69" s="29">
        <v>0</v>
      </c>
      <c r="BN69" s="29">
        <v>0</v>
      </c>
      <c r="BO69" s="29">
        <v>0</v>
      </c>
      <c r="BP69" s="29">
        <v>0</v>
      </c>
      <c r="BQ69" s="29" t="b">
        <v>0</v>
      </c>
      <c r="BR69" s="29">
        <v>0</v>
      </c>
      <c r="BS69" s="53">
        <v>0</v>
      </c>
      <c r="BT69" s="62" t="b">
        <v>0</v>
      </c>
      <c r="BU69" s="29" t="b">
        <v>0</v>
      </c>
      <c r="BV69" s="29" t="b">
        <v>0</v>
      </c>
      <c r="BW69" s="29" t="s">
        <v>79</v>
      </c>
      <c r="BX69" s="62" t="b">
        <v>0</v>
      </c>
      <c r="BY69" s="62" t="s">
        <v>431</v>
      </c>
    </row>
    <row r="70" spans="1:77" x14ac:dyDescent="0.2">
      <c r="A70" s="18" t="s">
        <v>722</v>
      </c>
      <c r="B70" s="133" t="s">
        <v>723</v>
      </c>
      <c r="C70" s="17" t="s">
        <v>122</v>
      </c>
      <c r="D70" s="164" t="s">
        <v>195</v>
      </c>
      <c r="E70" s="164" t="s">
        <v>195</v>
      </c>
      <c r="F70" s="63" t="s">
        <v>713</v>
      </c>
      <c r="G70" s="19" t="s">
        <v>376</v>
      </c>
      <c r="H70" s="29" t="b">
        <v>0</v>
      </c>
      <c r="I70" s="37" t="s">
        <v>79</v>
      </c>
      <c r="J70" s="17" t="s">
        <v>79</v>
      </c>
      <c r="K70" s="29" t="b">
        <v>0</v>
      </c>
      <c r="L70" s="70">
        <v>0</v>
      </c>
      <c r="M70" s="19">
        <v>300</v>
      </c>
      <c r="N70" s="29">
        <v>0</v>
      </c>
      <c r="O70" s="29">
        <v>0</v>
      </c>
      <c r="P70" s="29">
        <v>0</v>
      </c>
      <c r="Q70" s="29">
        <v>0</v>
      </c>
      <c r="R70" s="31">
        <v>0.96799999999999997</v>
      </c>
      <c r="S70" s="31">
        <v>0.45</v>
      </c>
      <c r="T70" s="72">
        <v>3.2000000000000001E-2</v>
      </c>
      <c r="U70" s="29">
        <v>0</v>
      </c>
      <c r="V70" s="29">
        <v>0</v>
      </c>
      <c r="W70" s="75">
        <v>1</v>
      </c>
      <c r="X70" s="29">
        <v>0</v>
      </c>
      <c r="Y70" s="29">
        <v>0</v>
      </c>
      <c r="Z70" s="29">
        <v>0</v>
      </c>
      <c r="AA70" s="29">
        <v>0</v>
      </c>
      <c r="AB70" s="134">
        <v>58.420299999999997</v>
      </c>
      <c r="AC70" s="134">
        <v>5.8491999999999997</v>
      </c>
      <c r="AD70" s="29" t="s">
        <v>568</v>
      </c>
      <c r="AE70" s="53">
        <v>3.5424000000000002</v>
      </c>
      <c r="AF70" s="53">
        <v>139.29750000000001</v>
      </c>
      <c r="AG70" s="53">
        <v>139.29750000000001</v>
      </c>
      <c r="AH70" s="31">
        <v>0.3</v>
      </c>
      <c r="AI70" s="31">
        <v>0.24</v>
      </c>
      <c r="AJ70" s="29">
        <v>0.18</v>
      </c>
      <c r="AK70" s="29">
        <v>0.15</v>
      </c>
      <c r="AL70" s="62">
        <v>50</v>
      </c>
      <c r="AM70" s="135">
        <v>16</v>
      </c>
      <c r="AN70" s="31">
        <v>0.08</v>
      </c>
      <c r="AO70" s="31">
        <v>0.8</v>
      </c>
      <c r="AP70" s="31">
        <v>0.8</v>
      </c>
      <c r="AQ70" s="31">
        <v>0.4</v>
      </c>
      <c r="AR70" s="31">
        <v>0.8</v>
      </c>
      <c r="AS70" s="130">
        <v>72.22</v>
      </c>
      <c r="AT70" s="29">
        <v>0</v>
      </c>
      <c r="AU70" s="29">
        <v>0</v>
      </c>
      <c r="AV70" s="71">
        <v>1.1555200000000001</v>
      </c>
      <c r="AW70" s="71">
        <v>0</v>
      </c>
      <c r="AX70" s="71">
        <v>0</v>
      </c>
      <c r="AY70" s="71">
        <v>0</v>
      </c>
      <c r="AZ70" s="19">
        <v>0.87</v>
      </c>
      <c r="BA70" s="65">
        <v>5.29</v>
      </c>
      <c r="BB70" s="29" t="b">
        <v>0</v>
      </c>
      <c r="BC70" s="29" t="b">
        <v>0</v>
      </c>
      <c r="BD70" s="29" t="s">
        <v>79</v>
      </c>
      <c r="BE70" s="29" t="b">
        <v>0</v>
      </c>
      <c r="BF70" s="29" t="b">
        <v>0</v>
      </c>
      <c r="BG70" s="62" t="b">
        <v>0</v>
      </c>
      <c r="BH70" s="30">
        <v>0.96799999999999997</v>
      </c>
      <c r="BI70" s="29" t="b">
        <v>0</v>
      </c>
      <c r="BJ70" s="62" t="s">
        <v>392</v>
      </c>
      <c r="BK70" s="29" t="b">
        <v>0</v>
      </c>
      <c r="BL70" s="29" t="b">
        <v>0</v>
      </c>
      <c r="BM70" s="29">
        <v>0</v>
      </c>
      <c r="BN70" s="29">
        <v>0</v>
      </c>
      <c r="BO70" s="29">
        <v>0</v>
      </c>
      <c r="BP70" s="29">
        <v>0</v>
      </c>
      <c r="BQ70" s="29" t="b">
        <v>0</v>
      </c>
      <c r="BR70" s="29">
        <v>0</v>
      </c>
      <c r="BS70" s="53">
        <v>0</v>
      </c>
      <c r="BT70" s="62" t="b">
        <v>0</v>
      </c>
      <c r="BU70" s="29" t="b">
        <v>0</v>
      </c>
      <c r="BV70" s="29" t="b">
        <v>0</v>
      </c>
      <c r="BW70" s="29" t="s">
        <v>79</v>
      </c>
      <c r="BX70" s="62" t="b">
        <v>0</v>
      </c>
      <c r="BY70" s="62" t="s">
        <v>431</v>
      </c>
    </row>
    <row r="71" spans="1:77" x14ac:dyDescent="0.2">
      <c r="A71" s="18" t="s">
        <v>724</v>
      </c>
      <c r="B71" s="133" t="s">
        <v>725</v>
      </c>
      <c r="C71" s="17" t="s">
        <v>122</v>
      </c>
      <c r="D71" s="164" t="s">
        <v>195</v>
      </c>
      <c r="E71" s="164" t="s">
        <v>195</v>
      </c>
      <c r="F71" s="63" t="s">
        <v>713</v>
      </c>
      <c r="G71" s="19" t="s">
        <v>376</v>
      </c>
      <c r="H71" s="29" t="b">
        <v>0</v>
      </c>
      <c r="I71" s="37" t="s">
        <v>79</v>
      </c>
      <c r="J71" s="17" t="s">
        <v>79</v>
      </c>
      <c r="K71" s="29" t="b">
        <v>0</v>
      </c>
      <c r="L71" s="70">
        <v>0</v>
      </c>
      <c r="M71" s="19">
        <v>300</v>
      </c>
      <c r="N71" s="29">
        <v>0</v>
      </c>
      <c r="O71" s="29">
        <v>0</v>
      </c>
      <c r="P71" s="29">
        <v>0</v>
      </c>
      <c r="Q71" s="29">
        <v>0</v>
      </c>
      <c r="R71" s="31">
        <v>0.96799999999999997</v>
      </c>
      <c r="S71" s="31">
        <v>0.45</v>
      </c>
      <c r="T71" s="72">
        <v>3.2000000000000001E-2</v>
      </c>
      <c r="U71" s="29">
        <v>0</v>
      </c>
      <c r="V71" s="29">
        <v>0</v>
      </c>
      <c r="W71" s="75">
        <v>1</v>
      </c>
      <c r="X71" s="29">
        <v>0</v>
      </c>
      <c r="Y71" s="29">
        <v>0</v>
      </c>
      <c r="Z71" s="29">
        <v>0</v>
      </c>
      <c r="AA71" s="29">
        <v>0</v>
      </c>
      <c r="AB71" s="134">
        <v>28.345600000000001</v>
      </c>
      <c r="AC71" s="134">
        <v>4.2949999999999999</v>
      </c>
      <c r="AD71" s="29" t="s">
        <v>568</v>
      </c>
      <c r="AE71" s="53">
        <v>3.5424000000000002</v>
      </c>
      <c r="AF71" s="53">
        <v>139.29750000000001</v>
      </c>
      <c r="AG71" s="53">
        <v>139.29750000000001</v>
      </c>
      <c r="AH71" s="31">
        <v>0.3</v>
      </c>
      <c r="AI71" s="31">
        <v>0.24</v>
      </c>
      <c r="AJ71" s="29">
        <v>0.18</v>
      </c>
      <c r="AK71" s="29">
        <v>0.15</v>
      </c>
      <c r="AL71" s="62">
        <v>50</v>
      </c>
      <c r="AM71" s="135">
        <v>17</v>
      </c>
      <c r="AN71" s="31">
        <v>0.08</v>
      </c>
      <c r="AO71" s="31">
        <v>0.8</v>
      </c>
      <c r="AP71" s="31">
        <v>0.8</v>
      </c>
      <c r="AQ71" s="31">
        <v>0.4</v>
      </c>
      <c r="AR71" s="31">
        <v>0.8</v>
      </c>
      <c r="AS71" s="130">
        <v>72.22</v>
      </c>
      <c r="AT71" s="29">
        <v>0</v>
      </c>
      <c r="AU71" s="29">
        <v>0</v>
      </c>
      <c r="AV71" s="71">
        <v>1.2277400000000001</v>
      </c>
      <c r="AW71" s="71">
        <v>0</v>
      </c>
      <c r="AX71" s="71">
        <v>0</v>
      </c>
      <c r="AY71" s="71">
        <v>0</v>
      </c>
      <c r="AZ71" s="19">
        <v>0.87</v>
      </c>
      <c r="BA71" s="65">
        <v>5.29</v>
      </c>
      <c r="BB71" s="29" t="b">
        <v>0</v>
      </c>
      <c r="BC71" s="29" t="b">
        <v>0</v>
      </c>
      <c r="BD71" s="29" t="s">
        <v>79</v>
      </c>
      <c r="BE71" s="29" t="b">
        <v>0</v>
      </c>
      <c r="BF71" s="29" t="b">
        <v>0</v>
      </c>
      <c r="BG71" s="62" t="b">
        <v>0</v>
      </c>
      <c r="BH71" s="30">
        <v>0.96799999999999997</v>
      </c>
      <c r="BI71" s="29" t="b">
        <v>0</v>
      </c>
      <c r="BJ71" s="62" t="s">
        <v>392</v>
      </c>
      <c r="BK71" s="29" t="b">
        <v>0</v>
      </c>
      <c r="BL71" s="29" t="b">
        <v>0</v>
      </c>
      <c r="BM71" s="29">
        <v>0</v>
      </c>
      <c r="BN71" s="29">
        <v>0</v>
      </c>
      <c r="BO71" s="29">
        <v>0</v>
      </c>
      <c r="BP71" s="29">
        <v>0</v>
      </c>
      <c r="BQ71" s="29" t="b">
        <v>0</v>
      </c>
      <c r="BR71" s="29">
        <v>0</v>
      </c>
      <c r="BS71" s="53">
        <v>0</v>
      </c>
      <c r="BT71" s="62" t="b">
        <v>0</v>
      </c>
      <c r="BU71" s="29" t="b">
        <v>0</v>
      </c>
      <c r="BV71" s="29" t="b">
        <v>0</v>
      </c>
      <c r="BW71" s="29" t="s">
        <v>79</v>
      </c>
      <c r="BX71" s="62" t="b">
        <v>0</v>
      </c>
      <c r="BY71" s="62" t="s">
        <v>431</v>
      </c>
    </row>
    <row r="72" spans="1:77" x14ac:dyDescent="0.2">
      <c r="A72" s="18" t="s">
        <v>726</v>
      </c>
      <c r="B72" s="133" t="s">
        <v>727</v>
      </c>
      <c r="C72" s="17" t="s">
        <v>122</v>
      </c>
      <c r="D72" s="164" t="s">
        <v>195</v>
      </c>
      <c r="E72" s="164" t="s">
        <v>195</v>
      </c>
      <c r="F72" s="63" t="s">
        <v>713</v>
      </c>
      <c r="G72" s="19" t="s">
        <v>376</v>
      </c>
      <c r="H72" s="29" t="b">
        <v>0</v>
      </c>
      <c r="I72" s="37" t="s">
        <v>79</v>
      </c>
      <c r="J72" s="17" t="s">
        <v>79</v>
      </c>
      <c r="K72" s="29" t="b">
        <v>0</v>
      </c>
      <c r="L72" s="70">
        <v>0</v>
      </c>
      <c r="M72" s="19">
        <v>300</v>
      </c>
      <c r="N72" s="29">
        <v>0</v>
      </c>
      <c r="O72" s="29">
        <v>0</v>
      </c>
      <c r="P72" s="29">
        <v>0</v>
      </c>
      <c r="Q72" s="29">
        <v>0</v>
      </c>
      <c r="R72" s="31">
        <v>0.96799999999999997</v>
      </c>
      <c r="S72" s="31">
        <v>0.45</v>
      </c>
      <c r="T72" s="72">
        <v>3.2000000000000001E-2</v>
      </c>
      <c r="U72" s="29">
        <v>0</v>
      </c>
      <c r="V72" s="29">
        <v>0</v>
      </c>
      <c r="W72" s="75">
        <v>1</v>
      </c>
      <c r="X72" s="29">
        <v>0</v>
      </c>
      <c r="Y72" s="29">
        <v>0</v>
      </c>
      <c r="Z72" s="29">
        <v>0</v>
      </c>
      <c r="AA72" s="29">
        <v>0</v>
      </c>
      <c r="AB72" s="134">
        <v>66.545699999999997</v>
      </c>
      <c r="AC72" s="134">
        <v>1.4551000000000001</v>
      </c>
      <c r="AD72" s="29" t="s">
        <v>568</v>
      </c>
      <c r="AE72" s="53">
        <v>3.5424000000000002</v>
      </c>
      <c r="AF72" s="53">
        <v>139.29750000000001</v>
      </c>
      <c r="AG72" s="53">
        <v>139.29750000000001</v>
      </c>
      <c r="AH72" s="31">
        <v>0.3</v>
      </c>
      <c r="AI72" s="31">
        <v>0.24</v>
      </c>
      <c r="AJ72" s="29">
        <v>0.18</v>
      </c>
      <c r="AK72" s="29">
        <v>0.15</v>
      </c>
      <c r="AL72" s="62">
        <v>50</v>
      </c>
      <c r="AM72" s="135">
        <v>18</v>
      </c>
      <c r="AN72" s="31">
        <v>0.08</v>
      </c>
      <c r="AO72" s="31">
        <v>0.8</v>
      </c>
      <c r="AP72" s="31">
        <v>0.8</v>
      </c>
      <c r="AQ72" s="31">
        <v>0.4</v>
      </c>
      <c r="AR72" s="31">
        <v>0.8</v>
      </c>
      <c r="AS72" s="130">
        <v>72.22</v>
      </c>
      <c r="AT72" s="29">
        <v>0</v>
      </c>
      <c r="AU72" s="29">
        <v>0</v>
      </c>
      <c r="AV72" s="71">
        <v>1.29996</v>
      </c>
      <c r="AW72" s="71">
        <v>0</v>
      </c>
      <c r="AX72" s="71">
        <v>0</v>
      </c>
      <c r="AY72" s="71">
        <v>0</v>
      </c>
      <c r="AZ72" s="19">
        <v>0.87</v>
      </c>
      <c r="BA72" s="65">
        <v>5.29</v>
      </c>
      <c r="BB72" s="29" t="b">
        <v>0</v>
      </c>
      <c r="BC72" s="29" t="b">
        <v>0</v>
      </c>
      <c r="BD72" s="29" t="s">
        <v>79</v>
      </c>
      <c r="BE72" s="29" t="b">
        <v>0</v>
      </c>
      <c r="BF72" s="29" t="b">
        <v>0</v>
      </c>
      <c r="BG72" s="62" t="b">
        <v>0</v>
      </c>
      <c r="BH72" s="30">
        <v>0.96799999999999997</v>
      </c>
      <c r="BI72" s="29" t="b">
        <v>0</v>
      </c>
      <c r="BJ72" s="62" t="s">
        <v>392</v>
      </c>
      <c r="BK72" s="29" t="b">
        <v>0</v>
      </c>
      <c r="BL72" s="29" t="b">
        <v>0</v>
      </c>
      <c r="BM72" s="29">
        <v>0</v>
      </c>
      <c r="BN72" s="29">
        <v>0</v>
      </c>
      <c r="BO72" s="29">
        <v>0</v>
      </c>
      <c r="BP72" s="29">
        <v>0</v>
      </c>
      <c r="BQ72" s="29" t="b">
        <v>0</v>
      </c>
      <c r="BR72" s="29">
        <v>0</v>
      </c>
      <c r="BS72" s="53">
        <v>0</v>
      </c>
      <c r="BT72" s="62" t="b">
        <v>0</v>
      </c>
      <c r="BU72" s="29" t="b">
        <v>0</v>
      </c>
      <c r="BV72" s="29" t="b">
        <v>0</v>
      </c>
      <c r="BW72" s="29" t="s">
        <v>79</v>
      </c>
      <c r="BX72" s="62" t="b">
        <v>0</v>
      </c>
      <c r="BY72" s="62" t="s">
        <v>431</v>
      </c>
    </row>
    <row r="73" spans="1:77" x14ac:dyDescent="0.2">
      <c r="A73" s="18" t="s">
        <v>728</v>
      </c>
      <c r="B73" s="133" t="s">
        <v>729</v>
      </c>
      <c r="C73" s="17" t="s">
        <v>122</v>
      </c>
      <c r="D73" s="164" t="s">
        <v>195</v>
      </c>
      <c r="E73" s="164" t="s">
        <v>195</v>
      </c>
      <c r="F73" s="63" t="s">
        <v>713</v>
      </c>
      <c r="G73" s="19" t="s">
        <v>376</v>
      </c>
      <c r="H73" s="29" t="b">
        <v>0</v>
      </c>
      <c r="I73" s="37" t="s">
        <v>79</v>
      </c>
      <c r="J73" s="17" t="s">
        <v>79</v>
      </c>
      <c r="K73" s="29" t="b">
        <v>0</v>
      </c>
      <c r="L73" s="70">
        <v>0</v>
      </c>
      <c r="M73" s="19">
        <v>300</v>
      </c>
      <c r="N73" s="29">
        <v>0</v>
      </c>
      <c r="O73" s="29">
        <v>0</v>
      </c>
      <c r="P73" s="29">
        <v>0</v>
      </c>
      <c r="Q73" s="29">
        <v>0</v>
      </c>
      <c r="R73" s="31">
        <v>0.96799999999999997</v>
      </c>
      <c r="S73" s="31">
        <v>0.45</v>
      </c>
      <c r="T73" s="72">
        <v>3.2000000000000001E-2</v>
      </c>
      <c r="U73" s="29">
        <v>0</v>
      </c>
      <c r="V73" s="29">
        <v>0</v>
      </c>
      <c r="W73" s="75">
        <v>1</v>
      </c>
      <c r="X73" s="29">
        <v>0</v>
      </c>
      <c r="Y73" s="29">
        <v>0</v>
      </c>
      <c r="Z73" s="29">
        <v>0</v>
      </c>
      <c r="AA73" s="29">
        <v>0</v>
      </c>
      <c r="AB73" s="134">
        <v>2.4464999999999999</v>
      </c>
      <c r="AC73" s="134">
        <v>0.2487</v>
      </c>
      <c r="AD73" s="29" t="s">
        <v>568</v>
      </c>
      <c r="AE73" s="53">
        <v>3.5424000000000002</v>
      </c>
      <c r="AF73" s="53">
        <v>139.29750000000001</v>
      </c>
      <c r="AG73" s="53">
        <v>139.29750000000001</v>
      </c>
      <c r="AH73" s="31">
        <v>0.3</v>
      </c>
      <c r="AI73" s="31">
        <v>0.24</v>
      </c>
      <c r="AJ73" s="29">
        <v>0.18</v>
      </c>
      <c r="AK73" s="29">
        <v>0.15</v>
      </c>
      <c r="AL73" s="62">
        <v>50</v>
      </c>
      <c r="AM73" s="135">
        <v>19</v>
      </c>
      <c r="AN73" s="31">
        <v>0.08</v>
      </c>
      <c r="AO73" s="31">
        <v>0.8</v>
      </c>
      <c r="AP73" s="31">
        <v>0.8</v>
      </c>
      <c r="AQ73" s="31">
        <v>0.4</v>
      </c>
      <c r="AR73" s="31">
        <v>0.8</v>
      </c>
      <c r="AS73" s="130">
        <v>72.22</v>
      </c>
      <c r="AT73" s="29">
        <v>0</v>
      </c>
      <c r="AU73" s="29">
        <v>0</v>
      </c>
      <c r="AV73" s="71">
        <v>1.37218</v>
      </c>
      <c r="AW73" s="71">
        <v>0</v>
      </c>
      <c r="AX73" s="71">
        <v>0</v>
      </c>
      <c r="AY73" s="71">
        <v>0</v>
      </c>
      <c r="AZ73" s="19">
        <v>0.87</v>
      </c>
      <c r="BA73" s="65">
        <v>5.29</v>
      </c>
      <c r="BB73" s="29" t="b">
        <v>0</v>
      </c>
      <c r="BC73" s="29" t="b">
        <v>0</v>
      </c>
      <c r="BD73" s="29" t="s">
        <v>79</v>
      </c>
      <c r="BE73" s="29" t="b">
        <v>0</v>
      </c>
      <c r="BF73" s="29" t="b">
        <v>0</v>
      </c>
      <c r="BG73" s="62" t="b">
        <v>0</v>
      </c>
      <c r="BH73" s="30">
        <v>0.96799999999999997</v>
      </c>
      <c r="BI73" s="29" t="b">
        <v>0</v>
      </c>
      <c r="BJ73" s="62" t="s">
        <v>392</v>
      </c>
      <c r="BK73" s="29" t="b">
        <v>0</v>
      </c>
      <c r="BL73" s="29" t="b">
        <v>0</v>
      </c>
      <c r="BM73" s="29">
        <v>0</v>
      </c>
      <c r="BN73" s="29">
        <v>0</v>
      </c>
      <c r="BO73" s="29">
        <v>0</v>
      </c>
      <c r="BP73" s="29">
        <v>0</v>
      </c>
      <c r="BQ73" s="29" t="b">
        <v>0</v>
      </c>
      <c r="BR73" s="29">
        <v>0</v>
      </c>
      <c r="BS73" s="53">
        <v>0</v>
      </c>
      <c r="BT73" s="62" t="b">
        <v>0</v>
      </c>
      <c r="BU73" s="29" t="b">
        <v>0</v>
      </c>
      <c r="BV73" s="29" t="b">
        <v>0</v>
      </c>
      <c r="BW73" s="29" t="s">
        <v>79</v>
      </c>
      <c r="BX73" s="62" t="b">
        <v>0</v>
      </c>
      <c r="BY73" s="62" t="s">
        <v>431</v>
      </c>
    </row>
    <row r="74" spans="1:77" x14ac:dyDescent="0.2">
      <c r="A74" s="18" t="s">
        <v>730</v>
      </c>
      <c r="B74" s="133" t="s">
        <v>731</v>
      </c>
      <c r="C74" s="17" t="s">
        <v>122</v>
      </c>
      <c r="D74" s="164" t="s">
        <v>195</v>
      </c>
      <c r="E74" s="164" t="s">
        <v>195</v>
      </c>
      <c r="F74" s="63" t="s">
        <v>713</v>
      </c>
      <c r="G74" s="19" t="s">
        <v>376</v>
      </c>
      <c r="H74" s="29" t="b">
        <v>0</v>
      </c>
      <c r="I74" s="37" t="s">
        <v>79</v>
      </c>
      <c r="J74" s="17" t="s">
        <v>79</v>
      </c>
      <c r="K74" s="29" t="b">
        <v>0</v>
      </c>
      <c r="L74" s="70">
        <v>0</v>
      </c>
      <c r="M74" s="19">
        <v>300</v>
      </c>
      <c r="N74" s="29">
        <v>0</v>
      </c>
      <c r="O74" s="29">
        <v>0</v>
      </c>
      <c r="P74" s="29">
        <v>0</v>
      </c>
      <c r="Q74" s="29">
        <v>0</v>
      </c>
      <c r="R74" s="31">
        <v>0.96799999999999997</v>
      </c>
      <c r="S74" s="31">
        <v>0.45</v>
      </c>
      <c r="T74" s="72">
        <v>3.2000000000000001E-2</v>
      </c>
      <c r="U74" s="29">
        <v>0</v>
      </c>
      <c r="V74" s="29">
        <v>0</v>
      </c>
      <c r="W74" s="75">
        <v>1</v>
      </c>
      <c r="X74" s="29">
        <v>0</v>
      </c>
      <c r="Y74" s="29">
        <v>0</v>
      </c>
      <c r="Z74" s="29">
        <v>0</v>
      </c>
      <c r="AA74" s="29">
        <v>0</v>
      </c>
      <c r="AB74" s="134">
        <v>64.383300000000006</v>
      </c>
      <c r="AC74" s="134">
        <v>24.693899999999999</v>
      </c>
      <c r="AD74" s="29" t="s">
        <v>568</v>
      </c>
      <c r="AE74" s="53">
        <v>3.5424000000000002</v>
      </c>
      <c r="AF74" s="53">
        <v>139.29750000000001</v>
      </c>
      <c r="AG74" s="53">
        <v>139.29750000000001</v>
      </c>
      <c r="AH74" s="31">
        <v>0.3</v>
      </c>
      <c r="AI74" s="31">
        <v>0.24</v>
      </c>
      <c r="AJ74" s="29">
        <v>0.18</v>
      </c>
      <c r="AK74" s="29">
        <v>0.15</v>
      </c>
      <c r="AL74" s="62">
        <v>50</v>
      </c>
      <c r="AM74" s="135">
        <v>20</v>
      </c>
      <c r="AN74" s="31">
        <v>0.08</v>
      </c>
      <c r="AO74" s="31">
        <v>0.8</v>
      </c>
      <c r="AP74" s="31">
        <v>0.8</v>
      </c>
      <c r="AQ74" s="31">
        <v>0.4</v>
      </c>
      <c r="AR74" s="31">
        <v>0.8</v>
      </c>
      <c r="AS74" s="130">
        <v>72.22</v>
      </c>
      <c r="AT74" s="29">
        <v>0</v>
      </c>
      <c r="AU74" s="29">
        <v>0</v>
      </c>
      <c r="AV74" s="71">
        <v>1.4443999999999999</v>
      </c>
      <c r="AW74" s="71">
        <v>0</v>
      </c>
      <c r="AX74" s="71">
        <v>0</v>
      </c>
      <c r="AY74" s="71">
        <v>0</v>
      </c>
      <c r="AZ74" s="19">
        <v>0.87</v>
      </c>
      <c r="BA74" s="65">
        <v>5.29</v>
      </c>
      <c r="BB74" s="29" t="b">
        <v>0</v>
      </c>
      <c r="BC74" s="29" t="b">
        <v>0</v>
      </c>
      <c r="BD74" s="29" t="s">
        <v>79</v>
      </c>
      <c r="BE74" s="29" t="b">
        <v>0</v>
      </c>
      <c r="BF74" s="29" t="b">
        <v>0</v>
      </c>
      <c r="BG74" s="62" t="b">
        <v>0</v>
      </c>
      <c r="BH74" s="30">
        <v>0.96799999999999997</v>
      </c>
      <c r="BI74" s="29" t="b">
        <v>0</v>
      </c>
      <c r="BJ74" s="62" t="s">
        <v>392</v>
      </c>
      <c r="BK74" s="29" t="b">
        <v>0</v>
      </c>
      <c r="BL74" s="29" t="b">
        <v>0</v>
      </c>
      <c r="BM74" s="29">
        <v>0</v>
      </c>
      <c r="BN74" s="29">
        <v>0</v>
      </c>
      <c r="BO74" s="29">
        <v>0</v>
      </c>
      <c r="BP74" s="29">
        <v>0</v>
      </c>
      <c r="BQ74" s="29" t="b">
        <v>0</v>
      </c>
      <c r="BR74" s="29">
        <v>0</v>
      </c>
      <c r="BS74" s="53">
        <v>0</v>
      </c>
      <c r="BT74" s="62" t="b">
        <v>0</v>
      </c>
      <c r="BU74" s="29" t="b">
        <v>0</v>
      </c>
      <c r="BV74" s="29" t="b">
        <v>0</v>
      </c>
      <c r="BW74" s="29" t="s">
        <v>79</v>
      </c>
      <c r="BX74" s="62" t="b">
        <v>0</v>
      </c>
      <c r="BY74" s="62" t="s">
        <v>431</v>
      </c>
    </row>
    <row r="75" spans="1:77" x14ac:dyDescent="0.2">
      <c r="A75" s="18" t="s">
        <v>732</v>
      </c>
      <c r="B75" s="133" t="s">
        <v>733</v>
      </c>
      <c r="C75" s="17" t="s">
        <v>122</v>
      </c>
      <c r="D75" s="164" t="s">
        <v>612</v>
      </c>
      <c r="E75" s="164" t="s">
        <v>612</v>
      </c>
      <c r="F75" s="63" t="s">
        <v>734</v>
      </c>
      <c r="G75" s="19" t="s">
        <v>376</v>
      </c>
      <c r="H75" s="29" t="b">
        <v>0</v>
      </c>
      <c r="I75" s="37" t="s">
        <v>79</v>
      </c>
      <c r="J75" s="17" t="s">
        <v>79</v>
      </c>
      <c r="K75" s="29" t="b">
        <v>0</v>
      </c>
      <c r="L75" s="70">
        <v>0</v>
      </c>
      <c r="M75" s="19">
        <v>500</v>
      </c>
      <c r="N75" s="29">
        <v>0</v>
      </c>
      <c r="O75" s="29">
        <v>0</v>
      </c>
      <c r="P75" s="29">
        <v>0</v>
      </c>
      <c r="Q75" s="29">
        <v>0</v>
      </c>
      <c r="R75" s="31">
        <v>0.96899999999999997</v>
      </c>
      <c r="S75" s="31">
        <v>0.47</v>
      </c>
      <c r="T75" s="72">
        <v>3.1E-2</v>
      </c>
      <c r="U75" s="29">
        <v>0</v>
      </c>
      <c r="V75" s="29">
        <v>0</v>
      </c>
      <c r="W75" s="75">
        <v>1</v>
      </c>
      <c r="X75" s="29">
        <v>0</v>
      </c>
      <c r="Y75" s="29">
        <v>0</v>
      </c>
      <c r="Z75" s="29">
        <v>0</v>
      </c>
      <c r="AA75" s="29">
        <v>0</v>
      </c>
      <c r="AB75" s="134">
        <v>212.346</v>
      </c>
      <c r="AC75" s="134">
        <v>4.2369000000000003</v>
      </c>
      <c r="AD75" s="29">
        <v>0</v>
      </c>
      <c r="AE75" s="53">
        <v>3.2841</v>
      </c>
      <c r="AF75" s="53">
        <v>139.29750000000001</v>
      </c>
      <c r="AG75" s="53">
        <v>139.29750000000001</v>
      </c>
      <c r="AH75" s="31">
        <v>0.3</v>
      </c>
      <c r="AI75" s="31">
        <v>0.24</v>
      </c>
      <c r="AJ75" s="29">
        <v>0.18</v>
      </c>
      <c r="AK75" s="29">
        <v>0.15</v>
      </c>
      <c r="AL75" s="62">
        <v>58</v>
      </c>
      <c r="AM75" s="135">
        <v>13.6</v>
      </c>
      <c r="AN75" s="31">
        <v>8.0000000000000002E-3</v>
      </c>
      <c r="AO75" s="31">
        <v>0.08</v>
      </c>
      <c r="AP75" s="31">
        <v>0.08</v>
      </c>
      <c r="AQ75" s="31">
        <v>0.04</v>
      </c>
      <c r="AR75" s="31">
        <v>0.08</v>
      </c>
      <c r="AS75" s="130">
        <v>52.07</v>
      </c>
      <c r="AT75" s="29">
        <v>0</v>
      </c>
      <c r="AU75" s="29">
        <v>0</v>
      </c>
      <c r="AV75" s="71">
        <v>0.70815199999999989</v>
      </c>
      <c r="AW75" s="71">
        <v>0</v>
      </c>
      <c r="AX75" s="71">
        <v>0</v>
      </c>
      <c r="AY75" s="71">
        <v>0</v>
      </c>
      <c r="AZ75" s="19">
        <v>0.87</v>
      </c>
      <c r="BA75" s="65">
        <v>4.97</v>
      </c>
      <c r="BB75" s="29" t="b">
        <v>0</v>
      </c>
      <c r="BC75" s="29" t="b">
        <v>0</v>
      </c>
      <c r="BD75" s="29" t="s">
        <v>79</v>
      </c>
      <c r="BE75" s="29" t="b">
        <v>0</v>
      </c>
      <c r="BF75" s="29" t="b">
        <v>0</v>
      </c>
      <c r="BG75" s="62" t="b">
        <v>0</v>
      </c>
      <c r="BH75" s="30">
        <v>0.96899999999999997</v>
      </c>
      <c r="BI75" s="29" t="b">
        <v>0</v>
      </c>
      <c r="BJ75" s="62" t="s">
        <v>393</v>
      </c>
      <c r="BK75" s="29" t="b">
        <v>0</v>
      </c>
      <c r="BL75" s="29" t="b">
        <v>0</v>
      </c>
      <c r="BM75" s="29">
        <v>0</v>
      </c>
      <c r="BN75" s="29">
        <v>0</v>
      </c>
      <c r="BO75" s="29">
        <v>0</v>
      </c>
      <c r="BP75" s="29">
        <v>0</v>
      </c>
      <c r="BQ75" s="29" t="b">
        <v>0</v>
      </c>
      <c r="BR75" s="29">
        <v>0</v>
      </c>
      <c r="BS75" s="53">
        <v>0</v>
      </c>
      <c r="BT75" s="62" t="b">
        <v>0</v>
      </c>
      <c r="BU75" s="29" t="b">
        <v>0</v>
      </c>
      <c r="BV75" s="29" t="b">
        <v>0</v>
      </c>
      <c r="BW75" s="29" t="s">
        <v>79</v>
      </c>
      <c r="BX75" s="62" t="b">
        <v>0</v>
      </c>
      <c r="BY75" s="62" t="s">
        <v>431</v>
      </c>
    </row>
    <row r="76" spans="1:77" x14ac:dyDescent="0.2">
      <c r="A76" s="18" t="s">
        <v>735</v>
      </c>
      <c r="B76" s="133" t="s">
        <v>736</v>
      </c>
      <c r="C76" s="17" t="s">
        <v>129</v>
      </c>
      <c r="D76" s="164" t="s">
        <v>612</v>
      </c>
      <c r="E76" s="164" t="s">
        <v>612</v>
      </c>
      <c r="F76" s="63" t="s">
        <v>734</v>
      </c>
      <c r="G76" s="19" t="s">
        <v>376</v>
      </c>
      <c r="H76" s="29" t="b">
        <v>0</v>
      </c>
      <c r="I76" s="37" t="s">
        <v>79</v>
      </c>
      <c r="J76" s="17" t="s">
        <v>79</v>
      </c>
      <c r="K76" s="29" t="b">
        <v>0</v>
      </c>
      <c r="L76" s="70">
        <v>0</v>
      </c>
      <c r="M76" s="19">
        <v>300</v>
      </c>
      <c r="N76" s="29">
        <v>0</v>
      </c>
      <c r="O76" s="29">
        <v>0</v>
      </c>
      <c r="P76" s="29">
        <v>0</v>
      </c>
      <c r="Q76" s="29">
        <v>0</v>
      </c>
      <c r="R76" s="31">
        <v>0.96799999999999997</v>
      </c>
      <c r="S76" s="31">
        <v>0.45</v>
      </c>
      <c r="T76" s="72">
        <v>3.2000000000000001E-2</v>
      </c>
      <c r="U76" s="29">
        <v>0</v>
      </c>
      <c r="V76" s="29">
        <v>0</v>
      </c>
      <c r="W76" s="75">
        <v>1</v>
      </c>
      <c r="X76" s="29">
        <v>0</v>
      </c>
      <c r="Y76" s="29">
        <v>0</v>
      </c>
      <c r="Z76" s="29">
        <v>0</v>
      </c>
      <c r="AA76" s="29">
        <v>0</v>
      </c>
      <c r="AB76" s="134">
        <v>37.410600000000002</v>
      </c>
      <c r="AC76" s="134">
        <v>0.45140000000000002</v>
      </c>
      <c r="AD76" s="29">
        <v>0</v>
      </c>
      <c r="AE76" s="53">
        <v>3.5424000000000002</v>
      </c>
      <c r="AF76" s="53">
        <v>139.29750000000001</v>
      </c>
      <c r="AG76" s="53">
        <v>139.29750000000001</v>
      </c>
      <c r="AH76" s="31">
        <v>0.3</v>
      </c>
      <c r="AI76" s="31">
        <v>0.24</v>
      </c>
      <c r="AJ76" s="29">
        <v>0.18</v>
      </c>
      <c r="AK76" s="29">
        <v>0.15</v>
      </c>
      <c r="AL76" s="62">
        <v>50</v>
      </c>
      <c r="AM76" s="135">
        <v>13.2</v>
      </c>
      <c r="AN76" s="31">
        <v>0.08</v>
      </c>
      <c r="AO76" s="31">
        <v>0.8</v>
      </c>
      <c r="AP76" s="31">
        <v>0.8</v>
      </c>
      <c r="AQ76" s="31">
        <v>0.4</v>
      </c>
      <c r="AR76" s="31">
        <v>0.8</v>
      </c>
      <c r="AS76" s="130">
        <v>52.07</v>
      </c>
      <c r="AT76" s="29">
        <v>0</v>
      </c>
      <c r="AU76" s="29">
        <v>0</v>
      </c>
      <c r="AV76" s="71">
        <v>0.68732399999999994</v>
      </c>
      <c r="AW76" s="71">
        <v>0</v>
      </c>
      <c r="AX76" s="71">
        <v>0</v>
      </c>
      <c r="AY76" s="71">
        <v>0</v>
      </c>
      <c r="AZ76" s="19">
        <v>0.87</v>
      </c>
      <c r="BA76" s="65">
        <v>5.29</v>
      </c>
      <c r="BB76" s="29" t="b">
        <v>0</v>
      </c>
      <c r="BC76" s="29" t="b">
        <v>0</v>
      </c>
      <c r="BD76" s="29" t="s">
        <v>79</v>
      </c>
      <c r="BE76" s="29" t="b">
        <v>0</v>
      </c>
      <c r="BF76" s="29" t="b">
        <v>0</v>
      </c>
      <c r="BG76" s="62" t="b">
        <v>0</v>
      </c>
      <c r="BH76" s="30">
        <v>0.96799999999999997</v>
      </c>
      <c r="BI76" s="29" t="b">
        <v>0</v>
      </c>
      <c r="BJ76" s="62" t="s">
        <v>392</v>
      </c>
      <c r="BK76" s="29" t="b">
        <v>0</v>
      </c>
      <c r="BL76" s="29" t="b">
        <v>0</v>
      </c>
      <c r="BM76" s="29">
        <v>0</v>
      </c>
      <c r="BN76" s="29">
        <v>0</v>
      </c>
      <c r="BO76" s="29">
        <v>0</v>
      </c>
      <c r="BP76" s="29">
        <v>0</v>
      </c>
      <c r="BQ76" s="29" t="b">
        <v>0</v>
      </c>
      <c r="BR76" s="29">
        <v>0</v>
      </c>
      <c r="BS76" s="53">
        <v>0</v>
      </c>
      <c r="BT76" s="62" t="b">
        <v>0</v>
      </c>
      <c r="BU76" s="29" t="b">
        <v>0</v>
      </c>
      <c r="BV76" s="29" t="b">
        <v>0</v>
      </c>
      <c r="BW76" s="29" t="s">
        <v>79</v>
      </c>
      <c r="BX76" s="62" t="b">
        <v>0</v>
      </c>
      <c r="BY76" s="62" t="s">
        <v>431</v>
      </c>
    </row>
    <row r="77" spans="1:77" x14ac:dyDescent="0.2">
      <c r="A77" s="18" t="s">
        <v>737</v>
      </c>
      <c r="B77" s="133" t="s">
        <v>738</v>
      </c>
      <c r="C77" s="17" t="s">
        <v>122</v>
      </c>
      <c r="D77" s="164" t="s">
        <v>612</v>
      </c>
      <c r="E77" s="164" t="s">
        <v>612</v>
      </c>
      <c r="F77" s="63" t="s">
        <v>734</v>
      </c>
      <c r="G77" s="19" t="s">
        <v>376</v>
      </c>
      <c r="H77" s="29" t="b">
        <v>0</v>
      </c>
      <c r="I77" s="37" t="s">
        <v>79</v>
      </c>
      <c r="J77" s="17" t="s">
        <v>79</v>
      </c>
      <c r="K77" s="29" t="b">
        <v>0</v>
      </c>
      <c r="L77" s="70">
        <v>0</v>
      </c>
      <c r="M77" s="19">
        <v>300</v>
      </c>
      <c r="N77" s="29">
        <v>0</v>
      </c>
      <c r="O77" s="29">
        <v>0</v>
      </c>
      <c r="P77" s="29">
        <v>0</v>
      </c>
      <c r="Q77" s="29">
        <v>0</v>
      </c>
      <c r="R77" s="31">
        <v>0.96799999999999997</v>
      </c>
      <c r="S77" s="31">
        <v>0.45</v>
      </c>
      <c r="T77" s="72">
        <v>3.2000000000000001E-2</v>
      </c>
      <c r="U77" s="29">
        <v>0</v>
      </c>
      <c r="V77" s="29">
        <v>0</v>
      </c>
      <c r="W77" s="75">
        <v>1</v>
      </c>
      <c r="X77" s="29">
        <v>0</v>
      </c>
      <c r="Y77" s="29">
        <v>0</v>
      </c>
      <c r="Z77" s="29">
        <v>0</v>
      </c>
      <c r="AA77" s="29">
        <v>0</v>
      </c>
      <c r="AB77" s="134">
        <v>148.88550000000001</v>
      </c>
      <c r="AC77" s="134">
        <v>4.0542999999999996</v>
      </c>
      <c r="AD77" s="29">
        <v>0</v>
      </c>
      <c r="AE77" s="53">
        <v>3.5424000000000002</v>
      </c>
      <c r="AF77" s="53">
        <v>139.29750000000001</v>
      </c>
      <c r="AG77" s="53">
        <v>139.29750000000001</v>
      </c>
      <c r="AH77" s="31">
        <v>0.3</v>
      </c>
      <c r="AI77" s="31">
        <v>0.24</v>
      </c>
      <c r="AJ77" s="29">
        <v>0.18</v>
      </c>
      <c r="AK77" s="29">
        <v>0.15</v>
      </c>
      <c r="AL77" s="62">
        <v>50</v>
      </c>
      <c r="AM77" s="135">
        <v>18.3</v>
      </c>
      <c r="AN77" s="31">
        <v>0.08</v>
      </c>
      <c r="AO77" s="31">
        <v>0.8</v>
      </c>
      <c r="AP77" s="31">
        <v>0.8</v>
      </c>
      <c r="AQ77" s="31">
        <v>0.4</v>
      </c>
      <c r="AR77" s="31">
        <v>0.8</v>
      </c>
      <c r="AS77" s="130">
        <v>52.07</v>
      </c>
      <c r="AT77" s="29">
        <v>0</v>
      </c>
      <c r="AU77" s="29">
        <v>0</v>
      </c>
      <c r="AV77" s="71">
        <v>0.95288100000000009</v>
      </c>
      <c r="AW77" s="71">
        <v>0</v>
      </c>
      <c r="AX77" s="71">
        <v>0</v>
      </c>
      <c r="AY77" s="71">
        <v>0</v>
      </c>
      <c r="AZ77" s="19">
        <v>0.87</v>
      </c>
      <c r="BA77" s="65">
        <v>5.29</v>
      </c>
      <c r="BB77" s="29" t="b">
        <v>0</v>
      </c>
      <c r="BC77" s="29" t="b">
        <v>0</v>
      </c>
      <c r="BD77" s="29" t="s">
        <v>79</v>
      </c>
      <c r="BE77" s="29" t="b">
        <v>0</v>
      </c>
      <c r="BF77" s="29" t="b">
        <v>0</v>
      </c>
      <c r="BG77" s="62" t="b">
        <v>0</v>
      </c>
      <c r="BH77" s="30">
        <v>0.96799999999999997</v>
      </c>
      <c r="BI77" s="29" t="b">
        <v>0</v>
      </c>
      <c r="BJ77" s="62" t="s">
        <v>392</v>
      </c>
      <c r="BK77" s="29" t="b">
        <v>0</v>
      </c>
      <c r="BL77" s="29" t="b">
        <v>0</v>
      </c>
      <c r="BM77" s="29">
        <v>0</v>
      </c>
      <c r="BN77" s="29">
        <v>0</v>
      </c>
      <c r="BO77" s="29">
        <v>0</v>
      </c>
      <c r="BP77" s="29">
        <v>0</v>
      </c>
      <c r="BQ77" s="29" t="b">
        <v>0</v>
      </c>
      <c r="BR77" s="29">
        <v>0</v>
      </c>
      <c r="BS77" s="53">
        <v>0</v>
      </c>
      <c r="BT77" s="62" t="b">
        <v>0</v>
      </c>
      <c r="BU77" s="29" t="b">
        <v>0</v>
      </c>
      <c r="BV77" s="29" t="b">
        <v>0</v>
      </c>
      <c r="BW77" s="29" t="s">
        <v>79</v>
      </c>
      <c r="BX77" s="62" t="b">
        <v>0</v>
      </c>
      <c r="BY77" s="62" t="s">
        <v>431</v>
      </c>
    </row>
    <row r="78" spans="1:77" x14ac:dyDescent="0.2">
      <c r="A78" s="18" t="s">
        <v>739</v>
      </c>
      <c r="B78" s="133" t="s">
        <v>740</v>
      </c>
      <c r="C78" s="17" t="s">
        <v>122</v>
      </c>
      <c r="D78" s="164" t="s">
        <v>612</v>
      </c>
      <c r="E78" s="164" t="s">
        <v>612</v>
      </c>
      <c r="F78" s="63" t="s">
        <v>734</v>
      </c>
      <c r="G78" s="19" t="s">
        <v>376</v>
      </c>
      <c r="H78" s="29" t="b">
        <v>0</v>
      </c>
      <c r="I78" s="37" t="s">
        <v>79</v>
      </c>
      <c r="J78" s="17" t="s">
        <v>79</v>
      </c>
      <c r="K78" s="29" t="b">
        <v>0</v>
      </c>
      <c r="L78" s="70">
        <v>0</v>
      </c>
      <c r="M78" s="19">
        <v>100</v>
      </c>
      <c r="N78" s="29">
        <v>0</v>
      </c>
      <c r="O78" s="29">
        <v>0</v>
      </c>
      <c r="P78" s="29">
        <v>0</v>
      </c>
      <c r="Q78" s="29">
        <v>0</v>
      </c>
      <c r="R78" s="31">
        <v>0.96599999999999997</v>
      </c>
      <c r="S78" s="31">
        <v>0.39</v>
      </c>
      <c r="T78" s="72">
        <v>3.4000000000000002E-2</v>
      </c>
      <c r="U78" s="29">
        <v>0</v>
      </c>
      <c r="V78" s="29">
        <v>0</v>
      </c>
      <c r="W78" s="75">
        <v>1</v>
      </c>
      <c r="X78" s="29">
        <v>0</v>
      </c>
      <c r="Y78" s="29">
        <v>0</v>
      </c>
      <c r="Z78" s="29">
        <v>0</v>
      </c>
      <c r="AA78" s="29">
        <v>0</v>
      </c>
      <c r="AB78" s="134">
        <v>545.83529999999996</v>
      </c>
      <c r="AC78" s="134">
        <v>12.1279</v>
      </c>
      <c r="AD78" s="29">
        <v>0</v>
      </c>
      <c r="AE78" s="53">
        <v>3.2841</v>
      </c>
      <c r="AF78" s="53">
        <v>139.29750000000001</v>
      </c>
      <c r="AG78" s="53">
        <v>139.29750000000001</v>
      </c>
      <c r="AH78" s="31">
        <v>0.3</v>
      </c>
      <c r="AI78" s="31">
        <v>0.24</v>
      </c>
      <c r="AJ78" s="29">
        <v>0.18</v>
      </c>
      <c r="AK78" s="29">
        <v>0.15</v>
      </c>
      <c r="AL78" s="62">
        <v>24</v>
      </c>
      <c r="AM78" s="135">
        <v>12</v>
      </c>
      <c r="AN78" s="31">
        <v>0.14000000000000001</v>
      </c>
      <c r="AO78" s="31">
        <v>1</v>
      </c>
      <c r="AP78" s="31">
        <v>1</v>
      </c>
      <c r="AQ78" s="31">
        <v>0.70000000000000007</v>
      </c>
      <c r="AR78" s="31">
        <v>1</v>
      </c>
      <c r="AS78" s="130">
        <v>52.07</v>
      </c>
      <c r="AT78" s="29">
        <v>0</v>
      </c>
      <c r="AU78" s="29">
        <v>0</v>
      </c>
      <c r="AV78" s="71">
        <v>0.62484000000000006</v>
      </c>
      <c r="AW78" s="71">
        <v>0</v>
      </c>
      <c r="AX78" s="71">
        <v>0</v>
      </c>
      <c r="AY78" s="71">
        <v>0</v>
      </c>
      <c r="AZ78" s="19">
        <v>0.83</v>
      </c>
      <c r="BA78" s="65">
        <v>1.6</v>
      </c>
      <c r="BB78" s="29" t="b">
        <v>0</v>
      </c>
      <c r="BC78" s="29" t="b">
        <v>0</v>
      </c>
      <c r="BD78" s="29" t="s">
        <v>79</v>
      </c>
      <c r="BE78" s="29" t="b">
        <v>0</v>
      </c>
      <c r="BF78" s="29" t="b">
        <v>0</v>
      </c>
      <c r="BG78" s="62" t="b">
        <v>0</v>
      </c>
      <c r="BH78" s="30">
        <v>0.96599999999999997</v>
      </c>
      <c r="BI78" s="29" t="b">
        <v>0</v>
      </c>
      <c r="BJ78" s="62" t="s">
        <v>395</v>
      </c>
      <c r="BK78" s="29" t="b">
        <v>0</v>
      </c>
      <c r="BL78" s="29" t="b">
        <v>0</v>
      </c>
      <c r="BM78" s="29">
        <v>0</v>
      </c>
      <c r="BN78" s="29">
        <v>0</v>
      </c>
      <c r="BO78" s="29">
        <v>0</v>
      </c>
      <c r="BP78" s="29">
        <v>0</v>
      </c>
      <c r="BQ78" s="29" t="b">
        <v>0</v>
      </c>
      <c r="BR78" s="29">
        <v>0</v>
      </c>
      <c r="BS78" s="53">
        <v>0</v>
      </c>
      <c r="BT78" s="62" t="b">
        <v>0</v>
      </c>
      <c r="BU78" s="29" t="b">
        <v>0</v>
      </c>
      <c r="BV78" s="29" t="b">
        <v>0</v>
      </c>
      <c r="BW78" s="29" t="s">
        <v>79</v>
      </c>
      <c r="BX78" s="62" t="b">
        <v>0</v>
      </c>
      <c r="BY78" s="62" t="s">
        <v>431</v>
      </c>
    </row>
    <row r="79" spans="1:77" x14ac:dyDescent="0.2">
      <c r="A79" s="18" t="s">
        <v>741</v>
      </c>
      <c r="B79" s="133" t="s">
        <v>742</v>
      </c>
      <c r="C79" s="17" t="s">
        <v>122</v>
      </c>
      <c r="D79" s="164" t="s">
        <v>612</v>
      </c>
      <c r="E79" s="164" t="s">
        <v>612</v>
      </c>
      <c r="F79" s="63" t="s">
        <v>734</v>
      </c>
      <c r="G79" s="19" t="s">
        <v>376</v>
      </c>
      <c r="H79" s="29" t="b">
        <v>0</v>
      </c>
      <c r="I79" s="37" t="s">
        <v>79</v>
      </c>
      <c r="J79" s="17" t="s">
        <v>79</v>
      </c>
      <c r="K79" s="29" t="b">
        <v>0</v>
      </c>
      <c r="L79" s="70">
        <v>0</v>
      </c>
      <c r="M79" s="19">
        <v>500</v>
      </c>
      <c r="N79" s="29">
        <v>0</v>
      </c>
      <c r="O79" s="29">
        <v>0</v>
      </c>
      <c r="P79" s="29">
        <v>0</v>
      </c>
      <c r="Q79" s="29">
        <v>0</v>
      </c>
      <c r="R79" s="31">
        <v>0.97099999999999997</v>
      </c>
      <c r="S79" s="31">
        <v>0.33</v>
      </c>
      <c r="T79" s="72">
        <v>2.9000000000000001E-2</v>
      </c>
      <c r="U79" s="69">
        <v>0</v>
      </c>
      <c r="V79" s="29">
        <v>0</v>
      </c>
      <c r="W79" s="75">
        <v>1</v>
      </c>
      <c r="X79" s="29">
        <v>0</v>
      </c>
      <c r="Y79" s="29">
        <v>0</v>
      </c>
      <c r="Z79" s="29">
        <v>0</v>
      </c>
      <c r="AA79" s="29">
        <v>0</v>
      </c>
      <c r="AB79" s="134">
        <v>315.12830000000002</v>
      </c>
      <c r="AC79" s="134">
        <v>4.6482000000000001</v>
      </c>
      <c r="AD79" s="29">
        <v>0</v>
      </c>
      <c r="AE79" s="53">
        <v>3.5424000000000002</v>
      </c>
      <c r="AF79" s="53">
        <v>139.29750000000001</v>
      </c>
      <c r="AG79" s="53">
        <v>139.29750000000001</v>
      </c>
      <c r="AH79" s="31">
        <v>0.3</v>
      </c>
      <c r="AI79" s="31">
        <v>0.24</v>
      </c>
      <c r="AJ79" s="29">
        <v>0.18</v>
      </c>
      <c r="AK79" s="29">
        <v>0.15</v>
      </c>
      <c r="AL79" s="62">
        <v>32</v>
      </c>
      <c r="AM79" s="135">
        <v>14.6</v>
      </c>
      <c r="AN79" s="31">
        <v>7.0000000000000001E-3</v>
      </c>
      <c r="AO79" s="31">
        <v>7.0000000000000007E-2</v>
      </c>
      <c r="AP79" s="31">
        <v>7.0000000000000007E-2</v>
      </c>
      <c r="AQ79" s="31">
        <v>3.5000000000000003E-2</v>
      </c>
      <c r="AR79" s="31">
        <v>7.0000000000000007E-2</v>
      </c>
      <c r="AS79" s="130">
        <v>52.07</v>
      </c>
      <c r="AT79" s="29">
        <v>0</v>
      </c>
      <c r="AU79" s="29">
        <v>0</v>
      </c>
      <c r="AV79" s="71">
        <v>0.76022199999999995</v>
      </c>
      <c r="AW79" s="71">
        <v>0</v>
      </c>
      <c r="AX79" s="71">
        <v>0</v>
      </c>
      <c r="AY79" s="71">
        <v>0</v>
      </c>
      <c r="AZ79" s="19">
        <v>0.88</v>
      </c>
      <c r="BA79" s="65">
        <v>2.94</v>
      </c>
      <c r="BB79" s="29" t="b">
        <v>0</v>
      </c>
      <c r="BC79" s="29" t="b">
        <v>0</v>
      </c>
      <c r="BD79" s="29" t="s">
        <v>79</v>
      </c>
      <c r="BE79" s="29" t="b">
        <v>0</v>
      </c>
      <c r="BF79" s="29" t="b">
        <v>0</v>
      </c>
      <c r="BG79" s="62" t="b">
        <v>0</v>
      </c>
      <c r="BH79" s="30">
        <v>0.97099999999999997</v>
      </c>
      <c r="BI79" s="29" t="b">
        <v>0</v>
      </c>
      <c r="BJ79" s="62">
        <v>6.9200000000000002E-4</v>
      </c>
      <c r="BK79" s="29" t="b">
        <v>0</v>
      </c>
      <c r="BL79" s="29" t="b">
        <v>0</v>
      </c>
      <c r="BM79" s="29">
        <v>0</v>
      </c>
      <c r="BN79" s="29">
        <v>0</v>
      </c>
      <c r="BO79" s="29">
        <v>0</v>
      </c>
      <c r="BP79" s="29">
        <v>0</v>
      </c>
      <c r="BQ79" s="29" t="b">
        <v>0</v>
      </c>
      <c r="BR79" s="29">
        <v>0</v>
      </c>
      <c r="BS79" s="53">
        <v>0</v>
      </c>
      <c r="BT79" s="62" t="b">
        <v>0</v>
      </c>
      <c r="BU79" s="29" t="b">
        <v>0</v>
      </c>
      <c r="BV79" s="29" t="b">
        <v>0</v>
      </c>
      <c r="BW79" s="29" t="s">
        <v>79</v>
      </c>
      <c r="BX79" s="62" t="b">
        <v>0</v>
      </c>
      <c r="BY79" s="62" t="s">
        <v>431</v>
      </c>
    </row>
    <row r="80" spans="1:77" x14ac:dyDescent="0.2">
      <c r="A80" s="18" t="s">
        <v>743</v>
      </c>
      <c r="B80" s="133" t="s">
        <v>744</v>
      </c>
      <c r="C80" s="17" t="s">
        <v>122</v>
      </c>
      <c r="D80" s="164" t="s">
        <v>24</v>
      </c>
      <c r="E80" s="164" t="s">
        <v>24</v>
      </c>
      <c r="F80" s="63" t="s">
        <v>745</v>
      </c>
      <c r="G80" s="19" t="s">
        <v>376</v>
      </c>
      <c r="H80" s="29" t="b">
        <v>1</v>
      </c>
      <c r="I80" s="37" t="s">
        <v>79</v>
      </c>
      <c r="J80" s="17" t="s">
        <v>79</v>
      </c>
      <c r="K80" s="29" t="b">
        <v>0</v>
      </c>
      <c r="L80" s="70">
        <v>0</v>
      </c>
      <c r="M80" s="19">
        <v>600</v>
      </c>
      <c r="N80" s="29">
        <v>0</v>
      </c>
      <c r="O80" s="29">
        <v>0</v>
      </c>
      <c r="P80" s="29">
        <v>0</v>
      </c>
      <c r="Q80" s="29">
        <v>0</v>
      </c>
      <c r="R80" s="31">
        <v>0.96099999999999997</v>
      </c>
      <c r="S80" s="31">
        <v>0.33</v>
      </c>
      <c r="T80" s="72">
        <v>3.9E-2</v>
      </c>
      <c r="U80" s="29">
        <v>0</v>
      </c>
      <c r="V80" s="29">
        <v>0</v>
      </c>
      <c r="W80" s="75">
        <v>1</v>
      </c>
      <c r="X80" s="29">
        <v>0</v>
      </c>
      <c r="Y80" s="29">
        <v>0</v>
      </c>
      <c r="Z80" s="29">
        <v>0</v>
      </c>
      <c r="AA80" s="29">
        <v>0</v>
      </c>
      <c r="AB80" s="134">
        <v>63.189799999999998</v>
      </c>
      <c r="AC80" s="134">
        <v>6.9825999999999997</v>
      </c>
      <c r="AD80" s="29" t="s">
        <v>568</v>
      </c>
      <c r="AE80" s="53">
        <v>1.8564000000000001</v>
      </c>
      <c r="AF80" s="53">
        <v>56.929600000000001</v>
      </c>
      <c r="AG80" s="53">
        <v>56.929600000000001</v>
      </c>
      <c r="AH80" s="31">
        <v>0.3</v>
      </c>
      <c r="AI80" s="31">
        <v>0.24</v>
      </c>
      <c r="AJ80" s="29">
        <v>0.18</v>
      </c>
      <c r="AK80" s="29">
        <v>0.15</v>
      </c>
      <c r="AL80" s="62">
        <v>55</v>
      </c>
      <c r="AM80" s="135">
        <v>10</v>
      </c>
      <c r="AN80" s="31">
        <v>7.0000000000000001E-3</v>
      </c>
      <c r="AO80" s="31">
        <v>7.0000000000000007E-2</v>
      </c>
      <c r="AP80" s="31">
        <v>7.0000000000000007E-2</v>
      </c>
      <c r="AQ80" s="31">
        <v>3.5000000000000003E-2</v>
      </c>
      <c r="AR80" s="31">
        <v>7.0000000000000007E-2</v>
      </c>
      <c r="AS80" s="130">
        <v>97.72</v>
      </c>
      <c r="AT80" s="29">
        <v>0</v>
      </c>
      <c r="AU80" s="29">
        <v>0</v>
      </c>
      <c r="AV80" s="71">
        <v>0.97720000000000007</v>
      </c>
      <c r="AW80" s="71">
        <v>0</v>
      </c>
      <c r="AX80" s="71">
        <v>0</v>
      </c>
      <c r="AY80" s="71">
        <v>0</v>
      </c>
      <c r="AZ80" s="19">
        <v>0.87</v>
      </c>
      <c r="BA80" s="65">
        <v>2.63</v>
      </c>
      <c r="BB80" s="29" t="b">
        <v>0</v>
      </c>
      <c r="BC80" s="29" t="b">
        <v>0</v>
      </c>
      <c r="BD80" s="29" t="s">
        <v>79</v>
      </c>
      <c r="BE80" s="29" t="b">
        <v>0</v>
      </c>
      <c r="BF80" s="29" t="b">
        <v>0</v>
      </c>
      <c r="BG80" s="62" t="b">
        <v>0</v>
      </c>
      <c r="BH80" s="30">
        <v>0.96099999999999997</v>
      </c>
      <c r="BI80" s="29" t="b">
        <v>0</v>
      </c>
      <c r="BJ80" s="62" t="s">
        <v>391</v>
      </c>
      <c r="BK80" s="29" t="b">
        <v>0</v>
      </c>
      <c r="BL80" s="29" t="b">
        <v>0</v>
      </c>
      <c r="BM80" s="29">
        <v>0</v>
      </c>
      <c r="BN80" s="29">
        <v>0</v>
      </c>
      <c r="BO80" s="29">
        <v>0</v>
      </c>
      <c r="BP80" s="29">
        <v>0</v>
      </c>
      <c r="BQ80" s="29" t="b">
        <v>0</v>
      </c>
      <c r="BR80" s="29">
        <v>0</v>
      </c>
      <c r="BS80" s="53">
        <v>0</v>
      </c>
      <c r="BT80" s="62" t="b">
        <v>0</v>
      </c>
      <c r="BU80" s="29" t="b">
        <v>0</v>
      </c>
      <c r="BV80" s="29" t="b">
        <v>0</v>
      </c>
      <c r="BW80" s="29" t="s">
        <v>79</v>
      </c>
      <c r="BX80" s="62" t="b">
        <v>0</v>
      </c>
      <c r="BY80" s="62" t="s">
        <v>431</v>
      </c>
    </row>
    <row r="81" spans="1:77" x14ac:dyDescent="0.2">
      <c r="A81" s="18" t="s">
        <v>746</v>
      </c>
      <c r="B81" s="133" t="s">
        <v>747</v>
      </c>
      <c r="C81" s="17" t="s">
        <v>122</v>
      </c>
      <c r="D81" s="164" t="s">
        <v>24</v>
      </c>
      <c r="E81" s="164" t="s">
        <v>24</v>
      </c>
      <c r="F81" s="63" t="s">
        <v>745</v>
      </c>
      <c r="G81" s="19" t="s">
        <v>376</v>
      </c>
      <c r="H81" s="29" t="b">
        <v>1</v>
      </c>
      <c r="I81" s="37" t="s">
        <v>79</v>
      </c>
      <c r="J81" s="17" t="s">
        <v>79</v>
      </c>
      <c r="K81" s="29" t="b">
        <v>0</v>
      </c>
      <c r="L81" s="70">
        <v>0</v>
      </c>
      <c r="M81" s="19">
        <v>600</v>
      </c>
      <c r="N81" s="29">
        <v>0</v>
      </c>
      <c r="O81" s="29">
        <v>0</v>
      </c>
      <c r="P81" s="29">
        <v>0</v>
      </c>
      <c r="Q81" s="29">
        <v>0</v>
      </c>
      <c r="R81" s="31">
        <v>0.96099999999999997</v>
      </c>
      <c r="S81" s="31">
        <v>0.33</v>
      </c>
      <c r="T81" s="72">
        <v>3.9E-2</v>
      </c>
      <c r="U81" s="29">
        <v>0</v>
      </c>
      <c r="V81" s="29">
        <v>0</v>
      </c>
      <c r="W81" s="75">
        <v>1</v>
      </c>
      <c r="X81" s="29">
        <v>0</v>
      </c>
      <c r="Y81" s="29">
        <v>0</v>
      </c>
      <c r="Z81" s="29">
        <v>0</v>
      </c>
      <c r="AA81" s="29">
        <v>0</v>
      </c>
      <c r="AB81" s="134">
        <v>31.003599999999999</v>
      </c>
      <c r="AC81" s="134">
        <v>3.7982999999999998</v>
      </c>
      <c r="AD81" s="29" t="s">
        <v>568</v>
      </c>
      <c r="AE81" s="53">
        <v>1.8564000000000001</v>
      </c>
      <c r="AF81" s="53">
        <v>56.929600000000001</v>
      </c>
      <c r="AG81" s="53">
        <v>56.929600000000001</v>
      </c>
      <c r="AH81" s="31">
        <v>0.3</v>
      </c>
      <c r="AI81" s="31">
        <v>0.24</v>
      </c>
      <c r="AJ81" s="29">
        <v>0.18</v>
      </c>
      <c r="AK81" s="29">
        <v>0.15</v>
      </c>
      <c r="AL81" s="62">
        <v>55</v>
      </c>
      <c r="AM81" s="135">
        <v>11</v>
      </c>
      <c r="AN81" s="31">
        <v>7.0000000000000001E-3</v>
      </c>
      <c r="AO81" s="31">
        <v>7.0000000000000007E-2</v>
      </c>
      <c r="AP81" s="31">
        <v>7.0000000000000007E-2</v>
      </c>
      <c r="AQ81" s="31">
        <v>3.5000000000000003E-2</v>
      </c>
      <c r="AR81" s="31">
        <v>7.0000000000000007E-2</v>
      </c>
      <c r="AS81" s="130">
        <v>97.72</v>
      </c>
      <c r="AT81" s="29">
        <v>0</v>
      </c>
      <c r="AU81" s="29">
        <v>0</v>
      </c>
      <c r="AV81" s="71">
        <v>1.0749200000000001</v>
      </c>
      <c r="AW81" s="71">
        <v>0</v>
      </c>
      <c r="AX81" s="71">
        <v>0</v>
      </c>
      <c r="AY81" s="71">
        <v>0</v>
      </c>
      <c r="AZ81" s="19">
        <v>0.87</v>
      </c>
      <c r="BA81" s="65">
        <v>2.63</v>
      </c>
      <c r="BB81" s="29" t="b">
        <v>0</v>
      </c>
      <c r="BC81" s="29" t="b">
        <v>0</v>
      </c>
      <c r="BD81" s="29" t="s">
        <v>79</v>
      </c>
      <c r="BE81" s="29" t="b">
        <v>0</v>
      </c>
      <c r="BF81" s="29" t="b">
        <v>0</v>
      </c>
      <c r="BG81" s="62" t="b">
        <v>0</v>
      </c>
      <c r="BH81" s="30">
        <v>0.96099999999999997</v>
      </c>
      <c r="BI81" s="29" t="b">
        <v>0</v>
      </c>
      <c r="BJ81" s="62" t="s">
        <v>391</v>
      </c>
      <c r="BK81" s="29" t="b">
        <v>0</v>
      </c>
      <c r="BL81" s="29" t="b">
        <v>0</v>
      </c>
      <c r="BM81" s="29">
        <v>0</v>
      </c>
      <c r="BN81" s="29">
        <v>0</v>
      </c>
      <c r="BO81" s="29">
        <v>0</v>
      </c>
      <c r="BP81" s="29">
        <v>0</v>
      </c>
      <c r="BQ81" s="29" t="b">
        <v>0</v>
      </c>
      <c r="BR81" s="29">
        <v>0</v>
      </c>
      <c r="BS81" s="53">
        <v>0</v>
      </c>
      <c r="BT81" s="62" t="b">
        <v>0</v>
      </c>
      <c r="BU81" s="29" t="b">
        <v>0</v>
      </c>
      <c r="BV81" s="29" t="b">
        <v>0</v>
      </c>
      <c r="BW81" s="29" t="s">
        <v>79</v>
      </c>
      <c r="BX81" s="62" t="b">
        <v>0</v>
      </c>
      <c r="BY81" s="62" t="s">
        <v>431</v>
      </c>
    </row>
    <row r="82" spans="1:77" x14ac:dyDescent="0.2">
      <c r="A82" s="18" t="s">
        <v>748</v>
      </c>
      <c r="B82" s="133" t="s">
        <v>749</v>
      </c>
      <c r="C82" s="17" t="s">
        <v>122</v>
      </c>
      <c r="D82" s="164" t="s">
        <v>24</v>
      </c>
      <c r="E82" s="164" t="s">
        <v>24</v>
      </c>
      <c r="F82" s="63" t="s">
        <v>745</v>
      </c>
      <c r="G82" s="19" t="s">
        <v>376</v>
      </c>
      <c r="H82" s="29" t="b">
        <v>1</v>
      </c>
      <c r="I82" s="37" t="s">
        <v>79</v>
      </c>
      <c r="J82" s="17" t="s">
        <v>79</v>
      </c>
      <c r="K82" s="29" t="b">
        <v>0</v>
      </c>
      <c r="L82" s="70">
        <v>0</v>
      </c>
      <c r="M82" s="19">
        <v>600</v>
      </c>
      <c r="N82" s="29">
        <v>0</v>
      </c>
      <c r="O82" s="29">
        <v>0</v>
      </c>
      <c r="P82" s="29">
        <v>0</v>
      </c>
      <c r="Q82" s="29">
        <v>0</v>
      </c>
      <c r="R82" s="31">
        <v>0.96099999999999997</v>
      </c>
      <c r="S82" s="31">
        <v>0.33</v>
      </c>
      <c r="T82" s="72">
        <v>3.9E-2</v>
      </c>
      <c r="U82" s="29">
        <v>0</v>
      </c>
      <c r="V82" s="29">
        <v>0</v>
      </c>
      <c r="W82" s="75">
        <v>1</v>
      </c>
      <c r="X82" s="29">
        <v>0</v>
      </c>
      <c r="Y82" s="29">
        <v>0</v>
      </c>
      <c r="Z82" s="29">
        <v>0</v>
      </c>
      <c r="AA82" s="29">
        <v>0</v>
      </c>
      <c r="AB82" s="134">
        <v>42.893799999999999</v>
      </c>
      <c r="AC82" s="134">
        <v>5.6657000000000002</v>
      </c>
      <c r="AD82" s="29" t="s">
        <v>568</v>
      </c>
      <c r="AE82" s="53">
        <v>1.8564000000000001</v>
      </c>
      <c r="AF82" s="53">
        <v>56.929600000000001</v>
      </c>
      <c r="AG82" s="53">
        <v>56.929600000000001</v>
      </c>
      <c r="AH82" s="31">
        <v>0.3</v>
      </c>
      <c r="AI82" s="31">
        <v>0.24</v>
      </c>
      <c r="AJ82" s="29">
        <v>0.18</v>
      </c>
      <c r="AK82" s="29">
        <v>0.15</v>
      </c>
      <c r="AL82" s="62">
        <v>55</v>
      </c>
      <c r="AM82" s="135">
        <v>12</v>
      </c>
      <c r="AN82" s="31">
        <v>7.0000000000000001E-3</v>
      </c>
      <c r="AO82" s="31">
        <v>7.0000000000000007E-2</v>
      </c>
      <c r="AP82" s="31">
        <v>7.0000000000000007E-2</v>
      </c>
      <c r="AQ82" s="31">
        <v>3.5000000000000003E-2</v>
      </c>
      <c r="AR82" s="31">
        <v>7.0000000000000007E-2</v>
      </c>
      <c r="AS82" s="130">
        <v>97.72</v>
      </c>
      <c r="AT82" s="29">
        <v>0</v>
      </c>
      <c r="AU82" s="29">
        <v>0</v>
      </c>
      <c r="AV82" s="71">
        <v>1.1726399999999999</v>
      </c>
      <c r="AW82" s="71">
        <v>0</v>
      </c>
      <c r="AX82" s="71">
        <v>0</v>
      </c>
      <c r="AY82" s="71">
        <v>0</v>
      </c>
      <c r="AZ82" s="19">
        <v>0.87</v>
      </c>
      <c r="BA82" s="65">
        <v>2.63</v>
      </c>
      <c r="BB82" s="29" t="b">
        <v>0</v>
      </c>
      <c r="BC82" s="29" t="b">
        <v>0</v>
      </c>
      <c r="BD82" s="29" t="s">
        <v>79</v>
      </c>
      <c r="BE82" s="29" t="b">
        <v>0</v>
      </c>
      <c r="BF82" s="29" t="b">
        <v>0</v>
      </c>
      <c r="BG82" s="62" t="b">
        <v>0</v>
      </c>
      <c r="BH82" s="30">
        <v>0.96099999999999997</v>
      </c>
      <c r="BI82" s="29" t="b">
        <v>0</v>
      </c>
      <c r="BJ82" s="62" t="s">
        <v>391</v>
      </c>
      <c r="BK82" s="29" t="b">
        <v>0</v>
      </c>
      <c r="BL82" s="29" t="b">
        <v>0</v>
      </c>
      <c r="BM82" s="29">
        <v>0</v>
      </c>
      <c r="BN82" s="29">
        <v>0</v>
      </c>
      <c r="BO82" s="29">
        <v>0</v>
      </c>
      <c r="BP82" s="29">
        <v>0</v>
      </c>
      <c r="BQ82" s="29" t="b">
        <v>0</v>
      </c>
      <c r="BR82" s="29">
        <v>0</v>
      </c>
      <c r="BS82" s="53">
        <v>0</v>
      </c>
      <c r="BT82" s="62" t="b">
        <v>0</v>
      </c>
      <c r="BU82" s="29" t="b">
        <v>0</v>
      </c>
      <c r="BV82" s="29" t="b">
        <v>0</v>
      </c>
      <c r="BW82" s="29" t="s">
        <v>79</v>
      </c>
      <c r="BX82" s="62" t="b">
        <v>0</v>
      </c>
      <c r="BY82" s="62" t="s">
        <v>431</v>
      </c>
    </row>
    <row r="83" spans="1:77" x14ac:dyDescent="0.2">
      <c r="A83" s="18" t="s">
        <v>750</v>
      </c>
      <c r="B83" s="133" t="s">
        <v>751</v>
      </c>
      <c r="C83" s="17" t="s">
        <v>122</v>
      </c>
      <c r="D83" s="164" t="s">
        <v>24</v>
      </c>
      <c r="E83" s="164" t="s">
        <v>24</v>
      </c>
      <c r="F83" s="63" t="s">
        <v>745</v>
      </c>
      <c r="G83" s="19" t="s">
        <v>376</v>
      </c>
      <c r="H83" s="29" t="b">
        <v>1</v>
      </c>
      <c r="I83" s="37" t="s">
        <v>79</v>
      </c>
      <c r="J83" s="17" t="s">
        <v>79</v>
      </c>
      <c r="K83" s="29" t="b">
        <v>0</v>
      </c>
      <c r="L83" s="70">
        <v>0</v>
      </c>
      <c r="M83" s="19">
        <v>600</v>
      </c>
      <c r="N83" s="29">
        <v>0</v>
      </c>
      <c r="O83" s="29">
        <v>0</v>
      </c>
      <c r="P83" s="29">
        <v>0</v>
      </c>
      <c r="Q83" s="29">
        <v>0</v>
      </c>
      <c r="R83" s="31">
        <v>0.96099999999999997</v>
      </c>
      <c r="S83" s="31">
        <v>0.33</v>
      </c>
      <c r="T83" s="72">
        <v>3.9E-2</v>
      </c>
      <c r="U83" s="29">
        <v>0</v>
      </c>
      <c r="V83" s="29">
        <v>0</v>
      </c>
      <c r="W83" s="75">
        <v>1</v>
      </c>
      <c r="X83" s="29">
        <v>0</v>
      </c>
      <c r="Y83" s="29">
        <v>0</v>
      </c>
      <c r="Z83" s="29">
        <v>0</v>
      </c>
      <c r="AA83" s="29">
        <v>0</v>
      </c>
      <c r="AB83" s="134">
        <v>51.541600000000003</v>
      </c>
      <c r="AC83" s="134">
        <v>7.1978</v>
      </c>
      <c r="AD83" s="29" t="s">
        <v>568</v>
      </c>
      <c r="AE83" s="53">
        <v>1.8564000000000001</v>
      </c>
      <c r="AF83" s="53">
        <v>56.929600000000001</v>
      </c>
      <c r="AG83" s="53">
        <v>56.929600000000001</v>
      </c>
      <c r="AH83" s="31">
        <v>0.3</v>
      </c>
      <c r="AI83" s="31">
        <v>0.24</v>
      </c>
      <c r="AJ83" s="29">
        <v>0.18</v>
      </c>
      <c r="AK83" s="29">
        <v>0.15</v>
      </c>
      <c r="AL83" s="62">
        <v>55</v>
      </c>
      <c r="AM83" s="135">
        <v>13</v>
      </c>
      <c r="AN83" s="31">
        <v>7.0000000000000001E-3</v>
      </c>
      <c r="AO83" s="31">
        <v>7.0000000000000007E-2</v>
      </c>
      <c r="AP83" s="31">
        <v>7.0000000000000007E-2</v>
      </c>
      <c r="AQ83" s="31">
        <v>3.5000000000000003E-2</v>
      </c>
      <c r="AR83" s="31">
        <v>7.0000000000000007E-2</v>
      </c>
      <c r="AS83" s="130">
        <v>97.72</v>
      </c>
      <c r="AT83" s="29">
        <v>0</v>
      </c>
      <c r="AU83" s="29">
        <v>0</v>
      </c>
      <c r="AV83" s="71">
        <v>1.2703599999999999</v>
      </c>
      <c r="AW83" s="71">
        <v>0</v>
      </c>
      <c r="AX83" s="71">
        <v>0</v>
      </c>
      <c r="AY83" s="71">
        <v>0</v>
      </c>
      <c r="AZ83" s="19">
        <v>0.87</v>
      </c>
      <c r="BA83" s="65">
        <v>2.63</v>
      </c>
      <c r="BB83" s="29" t="b">
        <v>0</v>
      </c>
      <c r="BC83" s="29" t="b">
        <v>0</v>
      </c>
      <c r="BD83" s="29" t="s">
        <v>79</v>
      </c>
      <c r="BE83" s="29" t="b">
        <v>0</v>
      </c>
      <c r="BF83" s="29" t="b">
        <v>0</v>
      </c>
      <c r="BG83" s="62" t="b">
        <v>0</v>
      </c>
      <c r="BH83" s="30">
        <v>0.96099999999999997</v>
      </c>
      <c r="BI83" s="29" t="b">
        <v>0</v>
      </c>
      <c r="BJ83" s="62" t="s">
        <v>391</v>
      </c>
      <c r="BK83" s="29" t="b">
        <v>0</v>
      </c>
      <c r="BL83" s="29" t="b">
        <v>0</v>
      </c>
      <c r="BM83" s="29">
        <v>0</v>
      </c>
      <c r="BN83" s="29">
        <v>0</v>
      </c>
      <c r="BO83" s="29">
        <v>0</v>
      </c>
      <c r="BP83" s="29">
        <v>0</v>
      </c>
      <c r="BQ83" s="29" t="b">
        <v>0</v>
      </c>
      <c r="BR83" s="29">
        <v>0</v>
      </c>
      <c r="BS83" s="53">
        <v>0</v>
      </c>
      <c r="BT83" s="62" t="b">
        <v>0</v>
      </c>
      <c r="BU83" s="29" t="b">
        <v>0</v>
      </c>
      <c r="BV83" s="29" t="b">
        <v>0</v>
      </c>
      <c r="BW83" s="29" t="s">
        <v>79</v>
      </c>
      <c r="BX83" s="62" t="b">
        <v>0</v>
      </c>
      <c r="BY83" s="62" t="s">
        <v>431</v>
      </c>
    </row>
    <row r="84" spans="1:77" x14ac:dyDescent="0.2">
      <c r="A84" s="18" t="s">
        <v>752</v>
      </c>
      <c r="B84" s="133" t="s">
        <v>753</v>
      </c>
      <c r="C84" s="17" t="s">
        <v>122</v>
      </c>
      <c r="D84" s="164" t="s">
        <v>24</v>
      </c>
      <c r="E84" s="164" t="s">
        <v>24</v>
      </c>
      <c r="F84" s="63" t="s">
        <v>745</v>
      </c>
      <c r="G84" s="19" t="s">
        <v>376</v>
      </c>
      <c r="H84" s="29" t="b">
        <v>1</v>
      </c>
      <c r="I84" s="37" t="s">
        <v>79</v>
      </c>
      <c r="J84" s="17" t="s">
        <v>79</v>
      </c>
      <c r="K84" s="29" t="b">
        <v>0</v>
      </c>
      <c r="L84" s="70">
        <v>0</v>
      </c>
      <c r="M84" s="19">
        <v>600</v>
      </c>
      <c r="N84" s="29">
        <v>0</v>
      </c>
      <c r="O84" s="29">
        <v>0</v>
      </c>
      <c r="P84" s="29">
        <v>0</v>
      </c>
      <c r="Q84" s="29">
        <v>0</v>
      </c>
      <c r="R84" s="31">
        <v>0.96099999999999997</v>
      </c>
      <c r="S84" s="31">
        <v>0.33</v>
      </c>
      <c r="T84" s="72">
        <v>3.9E-2</v>
      </c>
      <c r="U84" s="29">
        <v>0</v>
      </c>
      <c r="V84" s="29">
        <v>0</v>
      </c>
      <c r="W84" s="75">
        <v>1</v>
      </c>
      <c r="X84" s="29">
        <v>0</v>
      </c>
      <c r="Y84" s="29">
        <v>0</v>
      </c>
      <c r="Z84" s="29">
        <v>0</v>
      </c>
      <c r="AA84" s="29">
        <v>0</v>
      </c>
      <c r="AB84" s="134">
        <v>65.4619</v>
      </c>
      <c r="AC84" s="134">
        <v>10.0174</v>
      </c>
      <c r="AD84" s="29" t="s">
        <v>568</v>
      </c>
      <c r="AE84" s="53">
        <v>1.8564000000000001</v>
      </c>
      <c r="AF84" s="53">
        <v>56.929600000000001</v>
      </c>
      <c r="AG84" s="53">
        <v>56.929600000000001</v>
      </c>
      <c r="AH84" s="31">
        <v>0.3</v>
      </c>
      <c r="AI84" s="31">
        <v>0.24</v>
      </c>
      <c r="AJ84" s="29">
        <v>0.18</v>
      </c>
      <c r="AK84" s="29">
        <v>0.15</v>
      </c>
      <c r="AL84" s="62">
        <v>55</v>
      </c>
      <c r="AM84" s="135">
        <v>14</v>
      </c>
      <c r="AN84" s="31">
        <v>7.0000000000000001E-3</v>
      </c>
      <c r="AO84" s="31">
        <v>7.0000000000000007E-2</v>
      </c>
      <c r="AP84" s="31">
        <v>7.0000000000000007E-2</v>
      </c>
      <c r="AQ84" s="31">
        <v>3.5000000000000003E-2</v>
      </c>
      <c r="AR84" s="31">
        <v>7.0000000000000007E-2</v>
      </c>
      <c r="AS84" s="130">
        <v>97.72</v>
      </c>
      <c r="AT84" s="29">
        <v>0</v>
      </c>
      <c r="AU84" s="29">
        <v>0</v>
      </c>
      <c r="AV84" s="71">
        <v>1.36808</v>
      </c>
      <c r="AW84" s="71">
        <v>0</v>
      </c>
      <c r="AX84" s="71">
        <v>0</v>
      </c>
      <c r="AY84" s="71">
        <v>0</v>
      </c>
      <c r="AZ84" s="19">
        <v>0.87</v>
      </c>
      <c r="BA84" s="65">
        <v>2.63</v>
      </c>
      <c r="BB84" s="29" t="b">
        <v>0</v>
      </c>
      <c r="BC84" s="29" t="b">
        <v>0</v>
      </c>
      <c r="BD84" s="29" t="s">
        <v>79</v>
      </c>
      <c r="BE84" s="29" t="b">
        <v>0</v>
      </c>
      <c r="BF84" s="29" t="b">
        <v>0</v>
      </c>
      <c r="BG84" s="62" t="b">
        <v>0</v>
      </c>
      <c r="BH84" s="30">
        <v>0.96099999999999997</v>
      </c>
      <c r="BI84" s="29" t="b">
        <v>0</v>
      </c>
      <c r="BJ84" s="62" t="s">
        <v>391</v>
      </c>
      <c r="BK84" s="29" t="b">
        <v>0</v>
      </c>
      <c r="BL84" s="29" t="b">
        <v>0</v>
      </c>
      <c r="BM84" s="29">
        <v>0</v>
      </c>
      <c r="BN84" s="29">
        <v>0</v>
      </c>
      <c r="BO84" s="29">
        <v>0</v>
      </c>
      <c r="BP84" s="29">
        <v>0</v>
      </c>
      <c r="BQ84" s="29" t="b">
        <v>0</v>
      </c>
      <c r="BR84" s="29">
        <v>0</v>
      </c>
      <c r="BS84" s="53">
        <v>0</v>
      </c>
      <c r="BT84" s="62" t="b">
        <v>0</v>
      </c>
      <c r="BU84" s="29" t="b">
        <v>0</v>
      </c>
      <c r="BV84" s="29" t="b">
        <v>0</v>
      </c>
      <c r="BW84" s="29" t="s">
        <v>79</v>
      </c>
      <c r="BX84" s="62" t="b">
        <v>0</v>
      </c>
      <c r="BY84" s="62" t="s">
        <v>431</v>
      </c>
    </row>
    <row r="85" spans="1:77" x14ac:dyDescent="0.2">
      <c r="A85" s="18" t="s">
        <v>754</v>
      </c>
      <c r="B85" s="133" t="s">
        <v>755</v>
      </c>
      <c r="C85" s="17" t="s">
        <v>122</v>
      </c>
      <c r="D85" s="164" t="s">
        <v>612</v>
      </c>
      <c r="E85" s="164" t="s">
        <v>612</v>
      </c>
      <c r="F85" s="63" t="s">
        <v>756</v>
      </c>
      <c r="G85" s="19" t="s">
        <v>376</v>
      </c>
      <c r="H85" s="29" t="b">
        <v>0</v>
      </c>
      <c r="I85" s="37" t="s">
        <v>79</v>
      </c>
      <c r="J85" s="17" t="s">
        <v>79</v>
      </c>
      <c r="K85" s="29" t="b">
        <v>0</v>
      </c>
      <c r="L85" s="70">
        <v>0</v>
      </c>
      <c r="M85" s="19">
        <v>500</v>
      </c>
      <c r="N85" s="29">
        <v>0</v>
      </c>
      <c r="O85" s="29">
        <v>0</v>
      </c>
      <c r="P85" s="29">
        <v>0</v>
      </c>
      <c r="Q85" s="29">
        <v>0</v>
      </c>
      <c r="R85" s="31">
        <v>0.96799999999999997</v>
      </c>
      <c r="S85" s="31">
        <v>0.33</v>
      </c>
      <c r="T85" s="72">
        <v>3.2000000000000001E-2</v>
      </c>
      <c r="U85" s="69">
        <v>0</v>
      </c>
      <c r="V85" s="29">
        <v>0</v>
      </c>
      <c r="W85" s="75">
        <v>1</v>
      </c>
      <c r="X85" s="29">
        <v>0</v>
      </c>
      <c r="Y85" s="29">
        <v>0</v>
      </c>
      <c r="Z85" s="29">
        <v>0</v>
      </c>
      <c r="AA85" s="29">
        <v>0</v>
      </c>
      <c r="AB85" s="134">
        <v>208.4605</v>
      </c>
      <c r="AC85" s="134">
        <v>3.2643</v>
      </c>
      <c r="AD85" s="29">
        <v>0</v>
      </c>
      <c r="AE85" s="53">
        <v>3.5424000000000002</v>
      </c>
      <c r="AF85" s="53">
        <v>139.29750000000001</v>
      </c>
      <c r="AG85" s="53">
        <v>139.29750000000001</v>
      </c>
      <c r="AH85" s="31">
        <v>0.3</v>
      </c>
      <c r="AI85" s="31">
        <v>0.24</v>
      </c>
      <c r="AJ85" s="29">
        <v>0.18</v>
      </c>
      <c r="AK85" s="29">
        <v>0.15</v>
      </c>
      <c r="AL85" s="62">
        <v>50</v>
      </c>
      <c r="AM85" s="135">
        <v>20.100000000000001</v>
      </c>
      <c r="AN85" s="31">
        <v>7.0000000000000001E-3</v>
      </c>
      <c r="AO85" s="31">
        <v>7.0000000000000007E-2</v>
      </c>
      <c r="AP85" s="31">
        <v>7.0000000000000007E-2</v>
      </c>
      <c r="AQ85" s="31">
        <v>3.5000000000000003E-2</v>
      </c>
      <c r="AR85" s="31">
        <v>7.0000000000000007E-2</v>
      </c>
      <c r="AS85" s="130">
        <v>90.7</v>
      </c>
      <c r="AT85" s="29">
        <v>0</v>
      </c>
      <c r="AU85" s="29">
        <v>0</v>
      </c>
      <c r="AV85" s="71">
        <v>1.82307</v>
      </c>
      <c r="AW85" s="71">
        <v>0</v>
      </c>
      <c r="AX85" s="71">
        <v>0</v>
      </c>
      <c r="AY85" s="71">
        <v>0</v>
      </c>
      <c r="AZ85" s="19">
        <v>0.87</v>
      </c>
      <c r="BA85" s="65">
        <v>5.29</v>
      </c>
      <c r="BB85" s="29" t="b">
        <v>0</v>
      </c>
      <c r="BC85" s="29" t="b">
        <v>0</v>
      </c>
      <c r="BD85" s="29" t="s">
        <v>79</v>
      </c>
      <c r="BE85" s="29" t="b">
        <v>0</v>
      </c>
      <c r="BF85" s="29" t="b">
        <v>0</v>
      </c>
      <c r="BG85" s="62" t="b">
        <v>0</v>
      </c>
      <c r="BH85" s="30">
        <v>0.96799999999999997</v>
      </c>
      <c r="BI85" s="29" t="b">
        <v>0</v>
      </c>
      <c r="BJ85" s="62" t="s">
        <v>392</v>
      </c>
      <c r="BK85" s="29" t="b">
        <v>0</v>
      </c>
      <c r="BL85" s="29" t="b">
        <v>0</v>
      </c>
      <c r="BM85" s="29">
        <v>0</v>
      </c>
      <c r="BN85" s="29">
        <v>0</v>
      </c>
      <c r="BO85" s="29">
        <v>0</v>
      </c>
      <c r="BP85" s="29">
        <v>0</v>
      </c>
      <c r="BQ85" s="29" t="b">
        <v>0</v>
      </c>
      <c r="BR85" s="29">
        <v>0</v>
      </c>
      <c r="BS85" s="53">
        <v>0</v>
      </c>
      <c r="BT85" s="62" t="b">
        <v>0</v>
      </c>
      <c r="BU85" s="29" t="b">
        <v>0</v>
      </c>
      <c r="BV85" s="29" t="b">
        <v>0</v>
      </c>
      <c r="BW85" s="29" t="s">
        <v>79</v>
      </c>
      <c r="BX85" s="62" t="b">
        <v>0</v>
      </c>
      <c r="BY85" s="62" t="s">
        <v>431</v>
      </c>
    </row>
    <row r="86" spans="1:77" x14ac:dyDescent="0.2">
      <c r="A86" s="18" t="s">
        <v>757</v>
      </c>
      <c r="B86" s="133" t="s">
        <v>758</v>
      </c>
      <c r="C86" s="17" t="s">
        <v>75</v>
      </c>
      <c r="D86" s="164" t="s">
        <v>28</v>
      </c>
      <c r="E86" s="164" t="s">
        <v>28</v>
      </c>
      <c r="F86" s="63" t="s">
        <v>613</v>
      </c>
      <c r="G86" s="19" t="s">
        <v>376</v>
      </c>
      <c r="H86" s="37" t="s">
        <v>79</v>
      </c>
      <c r="I86" s="29" t="b">
        <v>0</v>
      </c>
      <c r="J86" s="17" t="s">
        <v>79</v>
      </c>
      <c r="K86" s="29" t="b">
        <v>0</v>
      </c>
      <c r="L86" s="70">
        <v>0</v>
      </c>
      <c r="M86" s="19">
        <v>100</v>
      </c>
      <c r="N86" s="29">
        <v>100</v>
      </c>
      <c r="O86" s="29">
        <v>0</v>
      </c>
      <c r="P86" s="29">
        <v>1</v>
      </c>
      <c r="Q86" s="29">
        <v>1</v>
      </c>
      <c r="R86" s="31">
        <v>1</v>
      </c>
      <c r="S86" s="31">
        <v>0</v>
      </c>
      <c r="T86" s="72">
        <v>0</v>
      </c>
      <c r="U86" s="29">
        <v>0</v>
      </c>
      <c r="V86" s="29">
        <v>0</v>
      </c>
      <c r="W86" s="75">
        <v>1</v>
      </c>
      <c r="X86" s="29">
        <v>0</v>
      </c>
      <c r="Y86" s="29">
        <v>0</v>
      </c>
      <c r="Z86" s="29">
        <v>0</v>
      </c>
      <c r="AA86" s="29">
        <v>0</v>
      </c>
      <c r="AB86" s="134">
        <v>12.544</v>
      </c>
      <c r="AC86" s="134">
        <v>0</v>
      </c>
      <c r="AD86" s="29">
        <v>0</v>
      </c>
      <c r="AE86" s="53">
        <v>0</v>
      </c>
      <c r="AF86" s="53">
        <v>0</v>
      </c>
      <c r="AG86" s="53">
        <v>0</v>
      </c>
      <c r="AH86" s="31">
        <v>0.3</v>
      </c>
      <c r="AI86" s="31">
        <v>0.24</v>
      </c>
      <c r="AJ86" s="29">
        <v>0.18</v>
      </c>
      <c r="AK86" s="29">
        <v>0.15</v>
      </c>
      <c r="AL86" s="62">
        <v>12</v>
      </c>
      <c r="AM86" s="135">
        <v>0</v>
      </c>
      <c r="AN86" s="31">
        <v>1</v>
      </c>
      <c r="AO86" s="31">
        <v>1</v>
      </c>
      <c r="AP86" s="31">
        <v>1</v>
      </c>
      <c r="AQ86" s="31">
        <v>1</v>
      </c>
      <c r="AR86" s="31">
        <v>1</v>
      </c>
      <c r="AS86" s="130">
        <v>0</v>
      </c>
      <c r="AT86" s="134">
        <v>0.79169285350370577</v>
      </c>
      <c r="AU86" s="134">
        <v>55418.499745259411</v>
      </c>
      <c r="AV86" s="71">
        <v>0</v>
      </c>
      <c r="AW86" s="71">
        <v>0</v>
      </c>
      <c r="AX86" s="71">
        <v>0</v>
      </c>
      <c r="AY86" s="71">
        <v>0</v>
      </c>
      <c r="AZ86" s="19">
        <v>0.97</v>
      </c>
      <c r="BA86" s="65">
        <v>0</v>
      </c>
      <c r="BB86" s="29" t="b">
        <v>0</v>
      </c>
      <c r="BC86" s="29" t="b">
        <v>0</v>
      </c>
      <c r="BD86" s="29" t="s">
        <v>79</v>
      </c>
      <c r="BE86" s="29" t="b">
        <v>1</v>
      </c>
      <c r="BF86" s="29" t="b">
        <v>0</v>
      </c>
      <c r="BG86" s="62" t="b">
        <v>0</v>
      </c>
      <c r="BH86" s="30">
        <v>1</v>
      </c>
      <c r="BI86" s="29" t="b">
        <v>0</v>
      </c>
      <c r="BJ86" s="74">
        <v>6.9200000000000002E-4</v>
      </c>
      <c r="BK86" s="29" t="b">
        <v>0</v>
      </c>
      <c r="BL86" s="29" t="b">
        <v>0</v>
      </c>
      <c r="BM86" s="29">
        <v>0</v>
      </c>
      <c r="BN86" s="29">
        <v>0</v>
      </c>
      <c r="BO86" s="29">
        <v>0</v>
      </c>
      <c r="BP86" s="29">
        <v>0</v>
      </c>
      <c r="BQ86" s="29" t="b">
        <v>0</v>
      </c>
      <c r="BR86" s="29">
        <v>0</v>
      </c>
      <c r="BS86" s="53">
        <v>0</v>
      </c>
      <c r="BT86" s="62" t="b">
        <v>0</v>
      </c>
      <c r="BU86" s="29" t="b">
        <v>0</v>
      </c>
      <c r="BV86" s="29" t="b">
        <v>0</v>
      </c>
      <c r="BW86" s="29" t="s">
        <v>79</v>
      </c>
      <c r="BX86" s="62" t="b">
        <v>0</v>
      </c>
      <c r="BY86" s="62" t="s">
        <v>431</v>
      </c>
    </row>
    <row r="87" spans="1:77" x14ac:dyDescent="0.2">
      <c r="A87" s="18" t="s">
        <v>759</v>
      </c>
      <c r="B87" s="133" t="s">
        <v>760</v>
      </c>
      <c r="C87" s="17" t="s">
        <v>75</v>
      </c>
      <c r="D87" s="164" t="s">
        <v>28</v>
      </c>
      <c r="E87" s="164" t="s">
        <v>28</v>
      </c>
      <c r="F87" s="63" t="s">
        <v>613</v>
      </c>
      <c r="G87" s="19" t="s">
        <v>376</v>
      </c>
      <c r="H87" s="37" t="s">
        <v>79</v>
      </c>
      <c r="I87" s="29" t="b">
        <v>0</v>
      </c>
      <c r="J87" s="17" t="s">
        <v>79</v>
      </c>
      <c r="K87" s="29" t="b">
        <v>0</v>
      </c>
      <c r="L87" s="70">
        <v>0</v>
      </c>
      <c r="M87" s="19">
        <v>100</v>
      </c>
      <c r="N87" s="29">
        <v>100</v>
      </c>
      <c r="O87" s="29">
        <v>0</v>
      </c>
      <c r="P87" s="29">
        <v>1</v>
      </c>
      <c r="Q87" s="29">
        <v>1</v>
      </c>
      <c r="R87" s="31">
        <v>1</v>
      </c>
      <c r="S87" s="31">
        <v>0</v>
      </c>
      <c r="T87" s="72">
        <v>0</v>
      </c>
      <c r="U87" s="29">
        <v>0</v>
      </c>
      <c r="V87" s="29">
        <v>0</v>
      </c>
      <c r="W87" s="75">
        <v>1</v>
      </c>
      <c r="X87" s="29">
        <v>0</v>
      </c>
      <c r="Y87" s="29">
        <v>0</v>
      </c>
      <c r="Z87" s="29">
        <v>0</v>
      </c>
      <c r="AA87" s="29">
        <v>0</v>
      </c>
      <c r="AB87" s="134">
        <v>12.4186</v>
      </c>
      <c r="AC87" s="134">
        <v>6.4699999999999994E-2</v>
      </c>
      <c r="AD87" s="29">
        <v>0</v>
      </c>
      <c r="AE87" s="53">
        <v>0</v>
      </c>
      <c r="AF87" s="53">
        <v>0</v>
      </c>
      <c r="AG87" s="53">
        <v>0</v>
      </c>
      <c r="AH87" s="31">
        <v>0.3</v>
      </c>
      <c r="AI87" s="31">
        <v>0.24</v>
      </c>
      <c r="AJ87" s="29">
        <v>0.18</v>
      </c>
      <c r="AK87" s="29">
        <v>0.15</v>
      </c>
      <c r="AL87" s="62">
        <v>13</v>
      </c>
      <c r="AM87" s="135">
        <v>0</v>
      </c>
      <c r="AN87" s="31">
        <v>1</v>
      </c>
      <c r="AO87" s="31">
        <v>1</v>
      </c>
      <c r="AP87" s="31">
        <v>1</v>
      </c>
      <c r="AQ87" s="31">
        <v>1</v>
      </c>
      <c r="AR87" s="31">
        <v>1</v>
      </c>
      <c r="AS87" s="130">
        <v>0</v>
      </c>
      <c r="AT87" s="134">
        <v>0.74355354649201444</v>
      </c>
      <c r="AU87" s="134">
        <v>13910.170962065989</v>
      </c>
      <c r="AV87" s="71">
        <v>0</v>
      </c>
      <c r="AW87" s="71">
        <v>0</v>
      </c>
      <c r="AX87" s="71">
        <v>0</v>
      </c>
      <c r="AY87" s="71">
        <v>0</v>
      </c>
      <c r="AZ87" s="19">
        <v>0.97</v>
      </c>
      <c r="BA87" s="65">
        <v>0</v>
      </c>
      <c r="BB87" s="29" t="b">
        <v>0</v>
      </c>
      <c r="BC87" s="29" t="b">
        <v>0</v>
      </c>
      <c r="BD87" s="29" t="s">
        <v>79</v>
      </c>
      <c r="BE87" s="29" t="b">
        <v>1</v>
      </c>
      <c r="BF87" s="29" t="b">
        <v>0</v>
      </c>
      <c r="BG87" s="62" t="b">
        <v>0</v>
      </c>
      <c r="BH87" s="30">
        <v>1</v>
      </c>
      <c r="BI87" s="29" t="b">
        <v>0</v>
      </c>
      <c r="BJ87" s="74">
        <v>6.9200000000000002E-4</v>
      </c>
      <c r="BK87" s="29" t="b">
        <v>0</v>
      </c>
      <c r="BL87" s="29" t="b">
        <v>0</v>
      </c>
      <c r="BM87" s="29">
        <v>0</v>
      </c>
      <c r="BN87" s="29">
        <v>0</v>
      </c>
      <c r="BO87" s="29">
        <v>0</v>
      </c>
      <c r="BP87" s="29">
        <v>0</v>
      </c>
      <c r="BQ87" s="29" t="b">
        <v>0</v>
      </c>
      <c r="BR87" s="29">
        <v>0</v>
      </c>
      <c r="BS87" s="53">
        <v>0</v>
      </c>
      <c r="BT87" s="62" t="b">
        <v>0</v>
      </c>
      <c r="BU87" s="29" t="b">
        <v>0</v>
      </c>
      <c r="BV87" s="29" t="b">
        <v>0</v>
      </c>
      <c r="BW87" s="29" t="s">
        <v>79</v>
      </c>
      <c r="BX87" s="62" t="b">
        <v>0</v>
      </c>
      <c r="BY87" s="62" t="s">
        <v>431</v>
      </c>
    </row>
    <row r="88" spans="1:77" x14ac:dyDescent="0.2">
      <c r="A88" s="18" t="s">
        <v>761</v>
      </c>
      <c r="B88" s="133" t="s">
        <v>762</v>
      </c>
      <c r="C88" s="17" t="s">
        <v>75</v>
      </c>
      <c r="D88" s="164" t="s">
        <v>28</v>
      </c>
      <c r="E88" s="164" t="s">
        <v>28</v>
      </c>
      <c r="F88" s="63" t="s">
        <v>613</v>
      </c>
      <c r="G88" s="19" t="s">
        <v>376</v>
      </c>
      <c r="H88" s="37" t="s">
        <v>79</v>
      </c>
      <c r="I88" s="29" t="b">
        <v>0</v>
      </c>
      <c r="J88" s="17" t="s">
        <v>79</v>
      </c>
      <c r="K88" s="29" t="b">
        <v>0</v>
      </c>
      <c r="L88" s="70">
        <v>0</v>
      </c>
      <c r="M88" s="19">
        <v>100</v>
      </c>
      <c r="N88" s="29">
        <v>100</v>
      </c>
      <c r="O88" s="29">
        <v>0</v>
      </c>
      <c r="P88" s="29">
        <v>1</v>
      </c>
      <c r="Q88" s="29">
        <v>1</v>
      </c>
      <c r="R88" s="31">
        <v>1</v>
      </c>
      <c r="S88" s="31">
        <v>0</v>
      </c>
      <c r="T88" s="72">
        <v>0</v>
      </c>
      <c r="U88" s="29">
        <v>0</v>
      </c>
      <c r="V88" s="29">
        <v>0</v>
      </c>
      <c r="W88" s="75">
        <v>1</v>
      </c>
      <c r="X88" s="29">
        <v>0</v>
      </c>
      <c r="Y88" s="29">
        <v>0</v>
      </c>
      <c r="Z88" s="29">
        <v>0</v>
      </c>
      <c r="AA88" s="29">
        <v>0</v>
      </c>
      <c r="AB88" s="134">
        <v>12.544</v>
      </c>
      <c r="AC88" s="134">
        <v>0</v>
      </c>
      <c r="AD88" s="29">
        <v>0</v>
      </c>
      <c r="AE88" s="53">
        <v>0</v>
      </c>
      <c r="AF88" s="53">
        <v>0</v>
      </c>
      <c r="AG88" s="53">
        <v>0</v>
      </c>
      <c r="AH88" s="31">
        <v>0.3</v>
      </c>
      <c r="AI88" s="31">
        <v>0.24</v>
      </c>
      <c r="AJ88" s="29">
        <v>0.18</v>
      </c>
      <c r="AK88" s="29">
        <v>0.15</v>
      </c>
      <c r="AL88" s="62">
        <v>15</v>
      </c>
      <c r="AM88" s="135">
        <v>0</v>
      </c>
      <c r="AN88" s="31">
        <v>1</v>
      </c>
      <c r="AO88" s="31">
        <v>1</v>
      </c>
      <c r="AP88" s="31">
        <v>1</v>
      </c>
      <c r="AQ88" s="31">
        <v>1</v>
      </c>
      <c r="AR88" s="31">
        <v>1</v>
      </c>
      <c r="AS88" s="130">
        <v>0</v>
      </c>
      <c r="AT88" s="134">
        <v>0.86768447837150131</v>
      </c>
      <c r="AU88" s="134">
        <v>33346.849872773542</v>
      </c>
      <c r="AV88" s="71">
        <v>0</v>
      </c>
      <c r="AW88" s="71">
        <v>0</v>
      </c>
      <c r="AX88" s="71">
        <v>0</v>
      </c>
      <c r="AY88" s="71">
        <v>0</v>
      </c>
      <c r="AZ88" s="19">
        <v>0.97</v>
      </c>
      <c r="BA88" s="65">
        <v>0</v>
      </c>
      <c r="BB88" s="29" t="b">
        <v>0</v>
      </c>
      <c r="BC88" s="29" t="b">
        <v>0</v>
      </c>
      <c r="BD88" s="29" t="s">
        <v>79</v>
      </c>
      <c r="BE88" s="29" t="b">
        <v>1</v>
      </c>
      <c r="BF88" s="29" t="b">
        <v>0</v>
      </c>
      <c r="BG88" s="62" t="b">
        <v>0</v>
      </c>
      <c r="BH88" s="30">
        <v>1</v>
      </c>
      <c r="BI88" s="29" t="b">
        <v>0</v>
      </c>
      <c r="BJ88" s="74">
        <v>6.9200000000000002E-4</v>
      </c>
      <c r="BK88" s="29" t="b">
        <v>0</v>
      </c>
      <c r="BL88" s="29" t="b">
        <v>0</v>
      </c>
      <c r="BM88" s="29">
        <v>0</v>
      </c>
      <c r="BN88" s="29">
        <v>0</v>
      </c>
      <c r="BO88" s="29">
        <v>0</v>
      </c>
      <c r="BP88" s="29">
        <v>0</v>
      </c>
      <c r="BQ88" s="29" t="b">
        <v>0</v>
      </c>
      <c r="BR88" s="29">
        <v>0</v>
      </c>
      <c r="BS88" s="53">
        <v>0</v>
      </c>
      <c r="BT88" s="62" t="b">
        <v>0</v>
      </c>
      <c r="BU88" s="29" t="b">
        <v>0</v>
      </c>
      <c r="BV88" s="29" t="b">
        <v>0</v>
      </c>
      <c r="BW88" s="29" t="s">
        <v>79</v>
      </c>
      <c r="BX88" s="62" t="b">
        <v>0</v>
      </c>
      <c r="BY88" s="62" t="s">
        <v>431</v>
      </c>
    </row>
    <row r="89" spans="1:77" x14ac:dyDescent="0.2">
      <c r="A89" s="18" t="s">
        <v>763</v>
      </c>
      <c r="B89" s="133" t="s">
        <v>764</v>
      </c>
      <c r="C89" s="17" t="s">
        <v>75</v>
      </c>
      <c r="D89" s="164" t="s">
        <v>28</v>
      </c>
      <c r="E89" s="164" t="s">
        <v>28</v>
      </c>
      <c r="F89" s="63" t="s">
        <v>613</v>
      </c>
      <c r="G89" s="19" t="s">
        <v>376</v>
      </c>
      <c r="H89" s="37" t="s">
        <v>79</v>
      </c>
      <c r="I89" s="29" t="b">
        <v>0</v>
      </c>
      <c r="J89" s="17" t="s">
        <v>79</v>
      </c>
      <c r="K89" s="29" t="b">
        <v>0</v>
      </c>
      <c r="L89" s="70">
        <v>0</v>
      </c>
      <c r="M89" s="19">
        <v>100</v>
      </c>
      <c r="N89" s="29">
        <v>100</v>
      </c>
      <c r="O89" s="29">
        <v>0</v>
      </c>
      <c r="P89" s="29">
        <v>1</v>
      </c>
      <c r="Q89" s="29">
        <v>1</v>
      </c>
      <c r="R89" s="31">
        <v>1</v>
      </c>
      <c r="S89" s="31">
        <v>0</v>
      </c>
      <c r="T89" s="72">
        <v>0</v>
      </c>
      <c r="U89" s="29">
        <v>0</v>
      </c>
      <c r="V89" s="29">
        <v>0</v>
      </c>
      <c r="W89" s="75">
        <v>1</v>
      </c>
      <c r="X89" s="29">
        <v>0</v>
      </c>
      <c r="Y89" s="29">
        <v>0</v>
      </c>
      <c r="Z89" s="29">
        <v>0</v>
      </c>
      <c r="AA89" s="29">
        <v>0</v>
      </c>
      <c r="AB89" s="134">
        <v>12.544</v>
      </c>
      <c r="AC89" s="134">
        <v>0</v>
      </c>
      <c r="AD89" s="29">
        <v>0</v>
      </c>
      <c r="AE89" s="53">
        <v>0</v>
      </c>
      <c r="AF89" s="53">
        <v>0</v>
      </c>
      <c r="AG89" s="53">
        <v>0</v>
      </c>
      <c r="AH89" s="31">
        <v>0.3</v>
      </c>
      <c r="AI89" s="31">
        <v>0.24</v>
      </c>
      <c r="AJ89" s="29">
        <v>0.18</v>
      </c>
      <c r="AK89" s="29">
        <v>0.15</v>
      </c>
      <c r="AL89" s="62">
        <v>15</v>
      </c>
      <c r="AM89" s="135">
        <v>0</v>
      </c>
      <c r="AN89" s="31">
        <v>1</v>
      </c>
      <c r="AO89" s="31">
        <v>1</v>
      </c>
      <c r="AP89" s="31">
        <v>1</v>
      </c>
      <c r="AQ89" s="31">
        <v>1</v>
      </c>
      <c r="AR89" s="31">
        <v>1</v>
      </c>
      <c r="AS89" s="130">
        <v>0</v>
      </c>
      <c r="AT89" s="134">
        <v>0.90131742907559131</v>
      </c>
      <c r="AU89" s="134">
        <v>34639.431434233127</v>
      </c>
      <c r="AV89" s="71">
        <v>0</v>
      </c>
      <c r="AW89" s="71">
        <v>0</v>
      </c>
      <c r="AX89" s="71">
        <v>0</v>
      </c>
      <c r="AY89" s="71">
        <v>0</v>
      </c>
      <c r="AZ89" s="19">
        <v>0.97</v>
      </c>
      <c r="BA89" s="65">
        <v>0</v>
      </c>
      <c r="BB89" s="29" t="b">
        <v>0</v>
      </c>
      <c r="BC89" s="29" t="b">
        <v>0</v>
      </c>
      <c r="BD89" s="29" t="s">
        <v>79</v>
      </c>
      <c r="BE89" s="29" t="b">
        <v>1</v>
      </c>
      <c r="BF89" s="29" t="b">
        <v>0</v>
      </c>
      <c r="BG89" s="62" t="b">
        <v>0</v>
      </c>
      <c r="BH89" s="30">
        <v>1</v>
      </c>
      <c r="BI89" s="29" t="b">
        <v>0</v>
      </c>
      <c r="BJ89" s="74">
        <v>6.9200000000000002E-4</v>
      </c>
      <c r="BK89" s="29" t="b">
        <v>0</v>
      </c>
      <c r="BL89" s="29" t="b">
        <v>0</v>
      </c>
      <c r="BM89" s="29">
        <v>0</v>
      </c>
      <c r="BN89" s="29">
        <v>0</v>
      </c>
      <c r="BO89" s="29">
        <v>0</v>
      </c>
      <c r="BP89" s="29">
        <v>0</v>
      </c>
      <c r="BQ89" s="29" t="b">
        <v>0</v>
      </c>
      <c r="BR89" s="29">
        <v>0</v>
      </c>
      <c r="BS89" s="53">
        <v>0</v>
      </c>
      <c r="BT89" s="62" t="b">
        <v>0</v>
      </c>
      <c r="BU89" s="29" t="b">
        <v>0</v>
      </c>
      <c r="BV89" s="29" t="b">
        <v>0</v>
      </c>
      <c r="BW89" s="29" t="s">
        <v>79</v>
      </c>
      <c r="BX89" s="62" t="b">
        <v>0</v>
      </c>
      <c r="BY89" s="62" t="s">
        <v>431</v>
      </c>
    </row>
    <row r="90" spans="1:77" x14ac:dyDescent="0.2">
      <c r="A90" s="18" t="s">
        <v>765</v>
      </c>
      <c r="B90" s="133" t="s">
        <v>766</v>
      </c>
      <c r="C90" s="17" t="s">
        <v>75</v>
      </c>
      <c r="D90" s="164" t="s">
        <v>28</v>
      </c>
      <c r="E90" s="164" t="s">
        <v>28</v>
      </c>
      <c r="F90" s="63" t="s">
        <v>613</v>
      </c>
      <c r="G90" s="19" t="s">
        <v>376</v>
      </c>
      <c r="H90" s="37" t="s">
        <v>79</v>
      </c>
      <c r="I90" s="29" t="b">
        <v>0</v>
      </c>
      <c r="J90" s="17" t="s">
        <v>79</v>
      </c>
      <c r="K90" s="29" t="b">
        <v>0</v>
      </c>
      <c r="L90" s="70">
        <v>0</v>
      </c>
      <c r="M90" s="19">
        <v>100</v>
      </c>
      <c r="N90" s="29">
        <v>100</v>
      </c>
      <c r="O90" s="29">
        <v>0</v>
      </c>
      <c r="P90" s="29">
        <v>1</v>
      </c>
      <c r="Q90" s="29">
        <v>1</v>
      </c>
      <c r="R90" s="31">
        <v>1</v>
      </c>
      <c r="S90" s="31">
        <v>0</v>
      </c>
      <c r="T90" s="72">
        <v>0</v>
      </c>
      <c r="U90" s="29">
        <v>0</v>
      </c>
      <c r="V90" s="29">
        <v>0</v>
      </c>
      <c r="W90" s="75">
        <v>1</v>
      </c>
      <c r="X90" s="29">
        <v>0</v>
      </c>
      <c r="Y90" s="29">
        <v>0</v>
      </c>
      <c r="Z90" s="29">
        <v>0</v>
      </c>
      <c r="AA90" s="29">
        <v>0</v>
      </c>
      <c r="AB90" s="134">
        <v>12.544</v>
      </c>
      <c r="AC90" s="134">
        <v>0</v>
      </c>
      <c r="AD90" s="29">
        <v>0</v>
      </c>
      <c r="AE90" s="53">
        <v>0</v>
      </c>
      <c r="AF90" s="53">
        <v>0</v>
      </c>
      <c r="AG90" s="53">
        <v>0</v>
      </c>
      <c r="AH90" s="31">
        <v>0.3</v>
      </c>
      <c r="AI90" s="31">
        <v>0.24</v>
      </c>
      <c r="AJ90" s="29">
        <v>0.18</v>
      </c>
      <c r="AK90" s="29">
        <v>0.15</v>
      </c>
      <c r="AL90" s="62">
        <v>15</v>
      </c>
      <c r="AM90" s="135">
        <v>0</v>
      </c>
      <c r="AN90" s="31">
        <v>1</v>
      </c>
      <c r="AO90" s="31">
        <v>1</v>
      </c>
      <c r="AP90" s="31">
        <v>1</v>
      </c>
      <c r="AQ90" s="31">
        <v>1</v>
      </c>
      <c r="AR90" s="31">
        <v>1</v>
      </c>
      <c r="AS90" s="130">
        <v>0</v>
      </c>
      <c r="AT90" s="134">
        <v>0.72</v>
      </c>
      <c r="AU90" s="134">
        <v>11043.84</v>
      </c>
      <c r="AV90" s="71">
        <v>0</v>
      </c>
      <c r="AW90" s="71">
        <v>0</v>
      </c>
      <c r="AX90" s="71">
        <v>0</v>
      </c>
      <c r="AY90" s="71">
        <v>0</v>
      </c>
      <c r="AZ90" s="19">
        <v>0.97</v>
      </c>
      <c r="BA90" s="65">
        <v>0</v>
      </c>
      <c r="BB90" s="29" t="b">
        <v>0</v>
      </c>
      <c r="BC90" s="29" t="b">
        <v>0</v>
      </c>
      <c r="BD90" s="29" t="s">
        <v>79</v>
      </c>
      <c r="BE90" s="29" t="b">
        <v>1</v>
      </c>
      <c r="BF90" s="29" t="b">
        <v>0</v>
      </c>
      <c r="BG90" s="62" t="b">
        <v>0</v>
      </c>
      <c r="BH90" s="30">
        <v>1</v>
      </c>
      <c r="BI90" s="29" t="b">
        <v>0</v>
      </c>
      <c r="BJ90" s="74">
        <v>6.9200000000000002E-4</v>
      </c>
      <c r="BK90" s="29" t="b">
        <v>0</v>
      </c>
      <c r="BL90" s="29" t="b">
        <v>0</v>
      </c>
      <c r="BM90" s="29">
        <v>0</v>
      </c>
      <c r="BN90" s="29">
        <v>0</v>
      </c>
      <c r="BO90" s="29">
        <v>0</v>
      </c>
      <c r="BP90" s="29">
        <v>0</v>
      </c>
      <c r="BQ90" s="29" t="b">
        <v>0</v>
      </c>
      <c r="BR90" s="29">
        <v>0</v>
      </c>
      <c r="BS90" s="53">
        <v>0</v>
      </c>
      <c r="BT90" s="62" t="b">
        <v>0</v>
      </c>
      <c r="BU90" s="29" t="b">
        <v>0</v>
      </c>
      <c r="BV90" s="29" t="b">
        <v>0</v>
      </c>
      <c r="BW90" s="29" t="s">
        <v>79</v>
      </c>
      <c r="BX90" s="62" t="b">
        <v>0</v>
      </c>
      <c r="BY90" s="62" t="s">
        <v>431</v>
      </c>
    </row>
    <row r="91" spans="1:77" x14ac:dyDescent="0.2">
      <c r="A91" s="18" t="s">
        <v>767</v>
      </c>
      <c r="B91" s="133" t="s">
        <v>768</v>
      </c>
      <c r="C91" s="17" t="s">
        <v>75</v>
      </c>
      <c r="D91" s="164" t="s">
        <v>28</v>
      </c>
      <c r="E91" s="164" t="s">
        <v>28</v>
      </c>
      <c r="F91" s="63" t="s">
        <v>613</v>
      </c>
      <c r="G91" s="19" t="s">
        <v>376</v>
      </c>
      <c r="H91" s="37" t="s">
        <v>79</v>
      </c>
      <c r="I91" s="29" t="b">
        <v>0</v>
      </c>
      <c r="J91" s="17" t="s">
        <v>79</v>
      </c>
      <c r="K91" s="29" t="b">
        <v>0</v>
      </c>
      <c r="L91" s="70">
        <v>0</v>
      </c>
      <c r="M91" s="19">
        <v>100</v>
      </c>
      <c r="N91" s="29">
        <v>100</v>
      </c>
      <c r="O91" s="29">
        <v>0</v>
      </c>
      <c r="P91" s="29">
        <v>1</v>
      </c>
      <c r="Q91" s="29">
        <v>1</v>
      </c>
      <c r="R91" s="31">
        <v>1</v>
      </c>
      <c r="S91" s="31">
        <v>0</v>
      </c>
      <c r="T91" s="72">
        <v>0</v>
      </c>
      <c r="U91" s="29">
        <v>0</v>
      </c>
      <c r="V91" s="29">
        <v>0</v>
      </c>
      <c r="W91" s="75">
        <v>1</v>
      </c>
      <c r="X91" s="29">
        <v>0</v>
      </c>
      <c r="Y91" s="29">
        <v>0</v>
      </c>
      <c r="Z91" s="29">
        <v>0</v>
      </c>
      <c r="AA91" s="29">
        <v>0</v>
      </c>
      <c r="AB91" s="134">
        <v>12.544</v>
      </c>
      <c r="AC91" s="134">
        <v>0</v>
      </c>
      <c r="AD91" s="29">
        <v>0</v>
      </c>
      <c r="AE91" s="53">
        <v>0</v>
      </c>
      <c r="AF91" s="53">
        <v>0</v>
      </c>
      <c r="AG91" s="53">
        <v>0</v>
      </c>
      <c r="AH91" s="31">
        <v>0.3</v>
      </c>
      <c r="AI91" s="31">
        <v>0.24</v>
      </c>
      <c r="AJ91" s="29">
        <v>0.18</v>
      </c>
      <c r="AK91" s="29">
        <v>0.15</v>
      </c>
      <c r="AL91" s="62">
        <v>14</v>
      </c>
      <c r="AM91" s="135">
        <v>0</v>
      </c>
      <c r="AN91" s="31">
        <v>1</v>
      </c>
      <c r="AO91" s="31">
        <v>1</v>
      </c>
      <c r="AP91" s="31">
        <v>1</v>
      </c>
      <c r="AQ91" s="31">
        <v>1</v>
      </c>
      <c r="AR91" s="31">
        <v>1</v>
      </c>
      <c r="AS91" s="130">
        <v>0</v>
      </c>
      <c r="AT91" s="134">
        <v>0.77</v>
      </c>
      <c r="AU91" s="134">
        <v>31706.400000000001</v>
      </c>
      <c r="AV91" s="71">
        <v>0</v>
      </c>
      <c r="AW91" s="71">
        <v>0</v>
      </c>
      <c r="AX91" s="71">
        <v>0</v>
      </c>
      <c r="AY91" s="71">
        <v>0</v>
      </c>
      <c r="AZ91" s="19">
        <v>0.97</v>
      </c>
      <c r="BA91" s="65">
        <v>0</v>
      </c>
      <c r="BB91" s="29" t="b">
        <v>0</v>
      </c>
      <c r="BC91" s="29" t="b">
        <v>0</v>
      </c>
      <c r="BD91" s="29" t="s">
        <v>79</v>
      </c>
      <c r="BE91" s="29" t="b">
        <v>1</v>
      </c>
      <c r="BF91" s="29" t="b">
        <v>0</v>
      </c>
      <c r="BG91" s="62" t="b">
        <v>0</v>
      </c>
      <c r="BH91" s="30">
        <v>1</v>
      </c>
      <c r="BI91" s="29" t="b">
        <v>0</v>
      </c>
      <c r="BJ91" s="74">
        <v>6.9200000000000002E-4</v>
      </c>
      <c r="BK91" s="29" t="b">
        <v>0</v>
      </c>
      <c r="BL91" s="29" t="b">
        <v>0</v>
      </c>
      <c r="BM91" s="29">
        <v>0</v>
      </c>
      <c r="BN91" s="29">
        <v>0</v>
      </c>
      <c r="BO91" s="29">
        <v>0</v>
      </c>
      <c r="BP91" s="29">
        <v>0</v>
      </c>
      <c r="BQ91" s="29" t="b">
        <v>0</v>
      </c>
      <c r="BR91" s="29">
        <v>0</v>
      </c>
      <c r="BS91" s="53">
        <v>0</v>
      </c>
      <c r="BT91" s="62" t="b">
        <v>0</v>
      </c>
      <c r="BU91" s="29" t="b">
        <v>0</v>
      </c>
      <c r="BV91" s="29" t="b">
        <v>0</v>
      </c>
      <c r="BW91" s="29" t="s">
        <v>79</v>
      </c>
      <c r="BX91" s="62" t="b">
        <v>0</v>
      </c>
      <c r="BY91" s="62" t="s">
        <v>431</v>
      </c>
    </row>
    <row r="92" spans="1:77" x14ac:dyDescent="0.2">
      <c r="A92" s="18" t="s">
        <v>769</v>
      </c>
      <c r="B92" s="133" t="s">
        <v>770</v>
      </c>
      <c r="C92" s="17" t="s">
        <v>75</v>
      </c>
      <c r="D92" s="164" t="s">
        <v>28</v>
      </c>
      <c r="E92" s="164" t="s">
        <v>28</v>
      </c>
      <c r="F92" s="63" t="s">
        <v>613</v>
      </c>
      <c r="G92" s="19" t="s">
        <v>376</v>
      </c>
      <c r="H92" s="37" t="s">
        <v>79</v>
      </c>
      <c r="I92" s="29" t="b">
        <v>0</v>
      </c>
      <c r="J92" s="17" t="s">
        <v>79</v>
      </c>
      <c r="K92" s="29" t="b">
        <v>0</v>
      </c>
      <c r="L92" s="70">
        <v>0</v>
      </c>
      <c r="M92" s="19">
        <v>100</v>
      </c>
      <c r="N92" s="29">
        <v>100</v>
      </c>
      <c r="O92" s="29">
        <v>0</v>
      </c>
      <c r="P92" s="29">
        <v>1</v>
      </c>
      <c r="Q92" s="29">
        <v>1</v>
      </c>
      <c r="R92" s="31">
        <v>1</v>
      </c>
      <c r="S92" s="31">
        <v>0</v>
      </c>
      <c r="T92" s="72">
        <v>0</v>
      </c>
      <c r="U92" s="29">
        <v>0</v>
      </c>
      <c r="V92" s="29">
        <v>0</v>
      </c>
      <c r="W92" s="75">
        <v>1</v>
      </c>
      <c r="X92" s="29">
        <v>0</v>
      </c>
      <c r="Y92" s="29">
        <v>0</v>
      </c>
      <c r="Z92" s="29">
        <v>0</v>
      </c>
      <c r="AA92" s="29">
        <v>0</v>
      </c>
      <c r="AB92" s="134">
        <v>5.5465</v>
      </c>
      <c r="AC92" s="134">
        <v>2.121</v>
      </c>
      <c r="AD92" s="29">
        <v>0</v>
      </c>
      <c r="AE92" s="53">
        <v>0</v>
      </c>
      <c r="AF92" s="53">
        <v>0</v>
      </c>
      <c r="AG92" s="53">
        <v>0</v>
      </c>
      <c r="AH92" s="31">
        <v>0.3</v>
      </c>
      <c r="AI92" s="31">
        <v>0.24</v>
      </c>
      <c r="AJ92" s="29">
        <v>0.18</v>
      </c>
      <c r="AK92" s="29">
        <v>0.15</v>
      </c>
      <c r="AL92" s="62">
        <v>20</v>
      </c>
      <c r="AM92" s="135">
        <v>0</v>
      </c>
      <c r="AN92" s="31">
        <v>1</v>
      </c>
      <c r="AO92" s="31">
        <v>1</v>
      </c>
      <c r="AP92" s="31">
        <v>1</v>
      </c>
      <c r="AQ92" s="31">
        <v>1</v>
      </c>
      <c r="AR92" s="31">
        <v>1</v>
      </c>
      <c r="AS92" s="130">
        <v>0</v>
      </c>
      <c r="AT92" s="134">
        <v>0.66083037713562631</v>
      </c>
      <c r="AU92" s="134">
        <v>660830.37713562627</v>
      </c>
      <c r="AV92" s="71">
        <v>0</v>
      </c>
      <c r="AW92" s="71">
        <v>0</v>
      </c>
      <c r="AX92" s="71">
        <v>0</v>
      </c>
      <c r="AY92" s="71">
        <v>0</v>
      </c>
      <c r="AZ92" s="19">
        <v>0.97</v>
      </c>
      <c r="BA92" s="65">
        <v>0</v>
      </c>
      <c r="BB92" s="29" t="b">
        <v>0</v>
      </c>
      <c r="BC92" s="29" t="b">
        <v>0</v>
      </c>
      <c r="BD92" s="29" t="s">
        <v>79</v>
      </c>
      <c r="BE92" s="29" t="b">
        <v>1</v>
      </c>
      <c r="BF92" s="29" t="b">
        <v>0</v>
      </c>
      <c r="BG92" s="62" t="b">
        <v>0</v>
      </c>
      <c r="BH92" s="30">
        <v>1</v>
      </c>
      <c r="BI92" s="29" t="b">
        <v>0</v>
      </c>
      <c r="BJ92" s="74">
        <v>6.9200000000000002E-4</v>
      </c>
      <c r="BK92" s="29" t="b">
        <v>0</v>
      </c>
      <c r="BL92" s="29" t="b">
        <v>0</v>
      </c>
      <c r="BM92" s="29">
        <v>0</v>
      </c>
      <c r="BN92" s="29">
        <v>0</v>
      </c>
      <c r="BO92" s="29">
        <v>0</v>
      </c>
      <c r="BP92" s="29">
        <v>0</v>
      </c>
      <c r="BQ92" s="29" t="b">
        <v>0</v>
      </c>
      <c r="BR92" s="29">
        <v>0</v>
      </c>
      <c r="BS92" s="53">
        <v>0</v>
      </c>
      <c r="BT92" s="62" t="b">
        <v>0</v>
      </c>
      <c r="BU92" s="29" t="b">
        <v>0</v>
      </c>
      <c r="BV92" s="29" t="b">
        <v>0</v>
      </c>
      <c r="BW92" s="29" t="s">
        <v>79</v>
      </c>
      <c r="BX92" s="62" t="b">
        <v>0</v>
      </c>
      <c r="BY92" s="62" t="s">
        <v>431</v>
      </c>
    </row>
    <row r="93" spans="1:77" x14ac:dyDescent="0.2">
      <c r="A93" s="18" t="s">
        <v>771</v>
      </c>
      <c r="B93" s="133" t="s">
        <v>772</v>
      </c>
      <c r="C93" s="17" t="s">
        <v>122</v>
      </c>
      <c r="D93" s="164" t="s">
        <v>282</v>
      </c>
      <c r="E93" s="164" t="s">
        <v>123</v>
      </c>
      <c r="F93" s="63" t="s">
        <v>22</v>
      </c>
      <c r="G93" s="19" t="s">
        <v>376</v>
      </c>
      <c r="H93" s="29" t="b">
        <v>1</v>
      </c>
      <c r="I93" s="37" t="s">
        <v>79</v>
      </c>
      <c r="J93" s="17" t="s">
        <v>79</v>
      </c>
      <c r="K93" s="29" t="b">
        <v>0</v>
      </c>
      <c r="L93" s="70">
        <v>0</v>
      </c>
      <c r="M93" s="19">
        <v>500</v>
      </c>
      <c r="N93" s="29">
        <v>0</v>
      </c>
      <c r="O93" s="29">
        <v>0</v>
      </c>
      <c r="P93" s="29">
        <v>0</v>
      </c>
      <c r="Q93" s="29">
        <v>0</v>
      </c>
      <c r="R93" s="31">
        <v>0.96899999999999997</v>
      </c>
      <c r="S93" s="31">
        <v>0.47</v>
      </c>
      <c r="T93" s="72">
        <v>3.1E-2</v>
      </c>
      <c r="U93" s="29">
        <v>0</v>
      </c>
      <c r="V93" s="29">
        <v>0</v>
      </c>
      <c r="W93" s="75">
        <v>1</v>
      </c>
      <c r="X93" s="29">
        <v>0</v>
      </c>
      <c r="Y93" s="29">
        <v>0</v>
      </c>
      <c r="Z93" s="29">
        <v>0</v>
      </c>
      <c r="AA93" s="29">
        <v>0</v>
      </c>
      <c r="AB93" s="134">
        <v>24.031700000000001</v>
      </c>
      <c r="AC93" s="134">
        <v>2.0434999999999999</v>
      </c>
      <c r="AD93" s="29" t="s">
        <v>568</v>
      </c>
      <c r="AE93" s="53">
        <v>3.2841</v>
      </c>
      <c r="AF93" s="53">
        <v>139.29750000000001</v>
      </c>
      <c r="AG93" s="53">
        <v>139.29750000000001</v>
      </c>
      <c r="AH93" s="31">
        <v>0.3</v>
      </c>
      <c r="AI93" s="31">
        <v>0.24</v>
      </c>
      <c r="AJ93" s="29">
        <v>0.18</v>
      </c>
      <c r="AK93" s="29">
        <v>0.15</v>
      </c>
      <c r="AL93" s="62">
        <v>58</v>
      </c>
      <c r="AM93" s="135">
        <v>6</v>
      </c>
      <c r="AN93" s="31">
        <v>8.0000000000000002E-3</v>
      </c>
      <c r="AO93" s="31">
        <v>0.08</v>
      </c>
      <c r="AP93" s="31">
        <v>0.08</v>
      </c>
      <c r="AQ93" s="31">
        <v>0.04</v>
      </c>
      <c r="AR93" s="31">
        <v>0.08</v>
      </c>
      <c r="AS93" s="130">
        <v>53.06</v>
      </c>
      <c r="AT93" s="29">
        <v>0</v>
      </c>
      <c r="AU93" s="29">
        <v>0</v>
      </c>
      <c r="AV93" s="71">
        <v>0.31835999999999998</v>
      </c>
      <c r="AW93" s="71">
        <v>0</v>
      </c>
      <c r="AX93" s="71">
        <v>0</v>
      </c>
      <c r="AY93" s="71">
        <v>0</v>
      </c>
      <c r="AZ93" s="19">
        <v>0.87</v>
      </c>
      <c r="BA93" s="65">
        <v>4.97</v>
      </c>
      <c r="BB93" s="29" t="b">
        <v>0</v>
      </c>
      <c r="BC93" s="29" t="b">
        <v>0</v>
      </c>
      <c r="BD93" s="29" t="s">
        <v>79</v>
      </c>
      <c r="BE93" s="29" t="b">
        <v>0</v>
      </c>
      <c r="BF93" s="29" t="b">
        <v>0</v>
      </c>
      <c r="BG93" s="62" t="b">
        <v>0</v>
      </c>
      <c r="BH93" s="30">
        <v>0.96899999999999997</v>
      </c>
      <c r="BI93" s="29" t="b">
        <v>0</v>
      </c>
      <c r="BJ93" s="62" t="s">
        <v>393</v>
      </c>
      <c r="BK93" s="29" t="b">
        <v>0</v>
      </c>
      <c r="BL93" s="29" t="b">
        <v>0</v>
      </c>
      <c r="BM93" s="29">
        <v>0</v>
      </c>
      <c r="BN93" s="29">
        <v>0</v>
      </c>
      <c r="BO93" s="29">
        <v>0</v>
      </c>
      <c r="BP93" s="29">
        <v>0</v>
      </c>
      <c r="BQ93" s="29" t="b">
        <v>0</v>
      </c>
      <c r="BR93" s="29">
        <v>0</v>
      </c>
      <c r="BS93" s="53">
        <v>0</v>
      </c>
      <c r="BT93" s="62" t="b">
        <v>0</v>
      </c>
      <c r="BU93" s="29" t="b">
        <v>0</v>
      </c>
      <c r="BV93" s="29" t="b">
        <v>0</v>
      </c>
      <c r="BW93" s="29" t="s">
        <v>79</v>
      </c>
      <c r="BX93" s="62" t="b">
        <v>0</v>
      </c>
      <c r="BY93" s="62" t="s">
        <v>431</v>
      </c>
    </row>
    <row r="94" spans="1:77" x14ac:dyDescent="0.2">
      <c r="A94" s="18" t="s">
        <v>773</v>
      </c>
      <c r="B94" s="133" t="s">
        <v>774</v>
      </c>
      <c r="C94" s="17" t="s">
        <v>122</v>
      </c>
      <c r="D94" s="164" t="s">
        <v>282</v>
      </c>
      <c r="E94" s="164" t="s">
        <v>123</v>
      </c>
      <c r="F94" s="63" t="s">
        <v>22</v>
      </c>
      <c r="G94" s="19" t="s">
        <v>376</v>
      </c>
      <c r="H94" s="29" t="b">
        <v>1</v>
      </c>
      <c r="I94" s="37" t="s">
        <v>79</v>
      </c>
      <c r="J94" s="17" t="s">
        <v>79</v>
      </c>
      <c r="K94" s="29" t="b">
        <v>0</v>
      </c>
      <c r="L94" s="70">
        <v>0</v>
      </c>
      <c r="M94" s="19">
        <v>500</v>
      </c>
      <c r="N94" s="29">
        <v>0</v>
      </c>
      <c r="O94" s="29">
        <v>0</v>
      </c>
      <c r="P94" s="29">
        <v>0</v>
      </c>
      <c r="Q94" s="29">
        <v>0</v>
      </c>
      <c r="R94" s="31">
        <v>0.96899999999999997</v>
      </c>
      <c r="S94" s="31">
        <v>0.47</v>
      </c>
      <c r="T94" s="72">
        <v>3.1E-2</v>
      </c>
      <c r="U94" s="29">
        <v>0</v>
      </c>
      <c r="V94" s="29">
        <v>0</v>
      </c>
      <c r="W94" s="75">
        <v>1</v>
      </c>
      <c r="X94" s="29">
        <v>0</v>
      </c>
      <c r="Y94" s="29">
        <v>0</v>
      </c>
      <c r="Z94" s="29">
        <v>0</v>
      </c>
      <c r="AA94" s="29">
        <v>0</v>
      </c>
      <c r="AB94" s="134">
        <v>29.635400000000001</v>
      </c>
      <c r="AC94" s="134">
        <v>3.0680000000000001</v>
      </c>
      <c r="AD94" s="29" t="s">
        <v>568</v>
      </c>
      <c r="AE94" s="53">
        <v>3.2841</v>
      </c>
      <c r="AF94" s="53">
        <v>139.29750000000001</v>
      </c>
      <c r="AG94" s="53">
        <v>139.29750000000001</v>
      </c>
      <c r="AH94" s="31">
        <v>0.3</v>
      </c>
      <c r="AI94" s="31">
        <v>0.24</v>
      </c>
      <c r="AJ94" s="29">
        <v>0.18</v>
      </c>
      <c r="AK94" s="29">
        <v>0.15</v>
      </c>
      <c r="AL94" s="62">
        <v>58</v>
      </c>
      <c r="AM94" s="135">
        <v>7</v>
      </c>
      <c r="AN94" s="31">
        <v>8.0000000000000002E-3</v>
      </c>
      <c r="AO94" s="31">
        <v>0.08</v>
      </c>
      <c r="AP94" s="31">
        <v>0.08</v>
      </c>
      <c r="AQ94" s="31">
        <v>0.04</v>
      </c>
      <c r="AR94" s="31">
        <v>0.08</v>
      </c>
      <c r="AS94" s="130">
        <v>53.06</v>
      </c>
      <c r="AT94" s="29">
        <v>0</v>
      </c>
      <c r="AU94" s="29">
        <v>0</v>
      </c>
      <c r="AV94" s="71">
        <v>0.37141999999999997</v>
      </c>
      <c r="AW94" s="71">
        <v>0</v>
      </c>
      <c r="AX94" s="71">
        <v>0</v>
      </c>
      <c r="AY94" s="71">
        <v>0</v>
      </c>
      <c r="AZ94" s="19">
        <v>0.87</v>
      </c>
      <c r="BA94" s="65">
        <v>4.97</v>
      </c>
      <c r="BB94" s="29" t="b">
        <v>0</v>
      </c>
      <c r="BC94" s="29" t="b">
        <v>0</v>
      </c>
      <c r="BD94" s="29" t="s">
        <v>79</v>
      </c>
      <c r="BE94" s="29" t="b">
        <v>0</v>
      </c>
      <c r="BF94" s="29" t="b">
        <v>0</v>
      </c>
      <c r="BG94" s="62" t="b">
        <v>0</v>
      </c>
      <c r="BH94" s="30">
        <v>0.96899999999999997</v>
      </c>
      <c r="BI94" s="29" t="b">
        <v>0</v>
      </c>
      <c r="BJ94" s="62" t="s">
        <v>393</v>
      </c>
      <c r="BK94" s="29" t="b">
        <v>0</v>
      </c>
      <c r="BL94" s="29" t="b">
        <v>0</v>
      </c>
      <c r="BM94" s="29">
        <v>0</v>
      </c>
      <c r="BN94" s="29">
        <v>0</v>
      </c>
      <c r="BO94" s="29">
        <v>0</v>
      </c>
      <c r="BP94" s="29">
        <v>0</v>
      </c>
      <c r="BQ94" s="29" t="b">
        <v>0</v>
      </c>
      <c r="BR94" s="29">
        <v>0</v>
      </c>
      <c r="BS94" s="53">
        <v>0</v>
      </c>
      <c r="BT94" s="62" t="b">
        <v>0</v>
      </c>
      <c r="BU94" s="29" t="b">
        <v>0</v>
      </c>
      <c r="BV94" s="29" t="b">
        <v>0</v>
      </c>
      <c r="BW94" s="29" t="s">
        <v>79</v>
      </c>
      <c r="BX94" s="62" t="b">
        <v>0</v>
      </c>
      <c r="BY94" s="62" t="s">
        <v>431</v>
      </c>
    </row>
    <row r="95" spans="1:77" x14ac:dyDescent="0.2">
      <c r="A95" s="18" t="s">
        <v>775</v>
      </c>
      <c r="B95" s="133" t="s">
        <v>776</v>
      </c>
      <c r="C95" s="17" t="s">
        <v>122</v>
      </c>
      <c r="D95" s="164" t="s">
        <v>282</v>
      </c>
      <c r="E95" s="164" t="s">
        <v>123</v>
      </c>
      <c r="F95" s="63" t="s">
        <v>22</v>
      </c>
      <c r="G95" s="19" t="s">
        <v>376</v>
      </c>
      <c r="H95" s="29" t="b">
        <v>1</v>
      </c>
      <c r="I95" s="37" t="s">
        <v>79</v>
      </c>
      <c r="J95" s="17" t="s">
        <v>79</v>
      </c>
      <c r="K95" s="29" t="b">
        <v>0</v>
      </c>
      <c r="L95" s="70">
        <v>0</v>
      </c>
      <c r="M95" s="19">
        <v>500</v>
      </c>
      <c r="N95" s="29">
        <v>0</v>
      </c>
      <c r="O95" s="29">
        <v>0</v>
      </c>
      <c r="P95" s="29">
        <v>0</v>
      </c>
      <c r="Q95" s="29">
        <v>0</v>
      </c>
      <c r="R95" s="31">
        <v>0.96899999999999997</v>
      </c>
      <c r="S95" s="31">
        <v>0.47</v>
      </c>
      <c r="T95" s="72">
        <v>3.1E-2</v>
      </c>
      <c r="U95" s="29">
        <v>0</v>
      </c>
      <c r="V95" s="29">
        <v>0</v>
      </c>
      <c r="W95" s="75">
        <v>1</v>
      </c>
      <c r="X95" s="29">
        <v>0</v>
      </c>
      <c r="Y95" s="29">
        <v>0</v>
      </c>
      <c r="Z95" s="29">
        <v>0</v>
      </c>
      <c r="AA95" s="29">
        <v>0</v>
      </c>
      <c r="AB95" s="134">
        <v>37.336100000000002</v>
      </c>
      <c r="AC95" s="134">
        <v>3.0988000000000002</v>
      </c>
      <c r="AD95" s="29" t="s">
        <v>568</v>
      </c>
      <c r="AE95" s="53">
        <v>3.2841</v>
      </c>
      <c r="AF95" s="53">
        <v>139.29750000000001</v>
      </c>
      <c r="AG95" s="53">
        <v>139.29750000000001</v>
      </c>
      <c r="AH95" s="31">
        <v>0.3</v>
      </c>
      <c r="AI95" s="31">
        <v>0.24</v>
      </c>
      <c r="AJ95" s="29">
        <v>0.18</v>
      </c>
      <c r="AK95" s="29">
        <v>0.15</v>
      </c>
      <c r="AL95" s="62">
        <v>58</v>
      </c>
      <c r="AM95" s="135">
        <v>8</v>
      </c>
      <c r="AN95" s="31">
        <v>8.0000000000000002E-3</v>
      </c>
      <c r="AO95" s="31">
        <v>0.08</v>
      </c>
      <c r="AP95" s="31">
        <v>0.08</v>
      </c>
      <c r="AQ95" s="31">
        <v>0.04</v>
      </c>
      <c r="AR95" s="31">
        <v>0.08</v>
      </c>
      <c r="AS95" s="130">
        <v>53.06</v>
      </c>
      <c r="AT95" s="29">
        <v>0</v>
      </c>
      <c r="AU95" s="29">
        <v>0</v>
      </c>
      <c r="AV95" s="71">
        <v>0.42448000000000002</v>
      </c>
      <c r="AW95" s="71">
        <v>0</v>
      </c>
      <c r="AX95" s="71">
        <v>0</v>
      </c>
      <c r="AY95" s="71">
        <v>0</v>
      </c>
      <c r="AZ95" s="19">
        <v>0.87</v>
      </c>
      <c r="BA95" s="65">
        <v>4.97</v>
      </c>
      <c r="BB95" s="29" t="b">
        <v>0</v>
      </c>
      <c r="BC95" s="29" t="b">
        <v>0</v>
      </c>
      <c r="BD95" s="29" t="s">
        <v>79</v>
      </c>
      <c r="BE95" s="29" t="b">
        <v>0</v>
      </c>
      <c r="BF95" s="29" t="b">
        <v>0</v>
      </c>
      <c r="BG95" s="62" t="b">
        <v>0</v>
      </c>
      <c r="BH95" s="30">
        <v>0.96899999999999997</v>
      </c>
      <c r="BI95" s="29" t="b">
        <v>0</v>
      </c>
      <c r="BJ95" s="62" t="s">
        <v>393</v>
      </c>
      <c r="BK95" s="29" t="b">
        <v>0</v>
      </c>
      <c r="BL95" s="29" t="b">
        <v>0</v>
      </c>
      <c r="BM95" s="29">
        <v>0</v>
      </c>
      <c r="BN95" s="29">
        <v>0</v>
      </c>
      <c r="BO95" s="29">
        <v>0</v>
      </c>
      <c r="BP95" s="29">
        <v>0</v>
      </c>
      <c r="BQ95" s="29" t="b">
        <v>0</v>
      </c>
      <c r="BR95" s="29">
        <v>0</v>
      </c>
      <c r="BS95" s="53">
        <v>0</v>
      </c>
      <c r="BT95" s="62" t="b">
        <v>0</v>
      </c>
      <c r="BU95" s="29" t="b">
        <v>0</v>
      </c>
      <c r="BV95" s="29" t="b">
        <v>0</v>
      </c>
      <c r="BW95" s="29" t="s">
        <v>79</v>
      </c>
      <c r="BX95" s="62" t="b">
        <v>0</v>
      </c>
      <c r="BY95" s="62" t="s">
        <v>431</v>
      </c>
    </row>
    <row r="96" spans="1:77" x14ac:dyDescent="0.2">
      <c r="A96" s="18" t="s">
        <v>777</v>
      </c>
      <c r="B96" s="133" t="s">
        <v>778</v>
      </c>
      <c r="C96" s="17" t="s">
        <v>122</v>
      </c>
      <c r="D96" s="164" t="s">
        <v>282</v>
      </c>
      <c r="E96" s="164" t="s">
        <v>123</v>
      </c>
      <c r="F96" s="63" t="s">
        <v>22</v>
      </c>
      <c r="G96" s="19" t="s">
        <v>376</v>
      </c>
      <c r="H96" s="29" t="b">
        <v>1</v>
      </c>
      <c r="I96" s="37" t="s">
        <v>79</v>
      </c>
      <c r="J96" s="17" t="s">
        <v>79</v>
      </c>
      <c r="K96" s="29" t="b">
        <v>0</v>
      </c>
      <c r="L96" s="70">
        <v>0</v>
      </c>
      <c r="M96" s="19">
        <v>500</v>
      </c>
      <c r="N96" s="29">
        <v>0</v>
      </c>
      <c r="O96" s="29">
        <v>0</v>
      </c>
      <c r="P96" s="29">
        <v>0</v>
      </c>
      <c r="Q96" s="29">
        <v>0</v>
      </c>
      <c r="R96" s="31">
        <v>0.96899999999999997</v>
      </c>
      <c r="S96" s="31">
        <v>0.47</v>
      </c>
      <c r="T96" s="72">
        <v>3.1E-2</v>
      </c>
      <c r="U96" s="29">
        <v>0</v>
      </c>
      <c r="V96" s="29">
        <v>0</v>
      </c>
      <c r="W96" s="75">
        <v>1</v>
      </c>
      <c r="X96" s="29">
        <v>0</v>
      </c>
      <c r="Y96" s="29">
        <v>0</v>
      </c>
      <c r="Z96" s="29">
        <v>0</v>
      </c>
      <c r="AA96" s="29">
        <v>0</v>
      </c>
      <c r="AB96" s="134">
        <v>34.217500000000001</v>
      </c>
      <c r="AC96" s="134">
        <v>4.7792000000000003</v>
      </c>
      <c r="AD96" s="29" t="s">
        <v>568</v>
      </c>
      <c r="AE96" s="53">
        <v>3.2841</v>
      </c>
      <c r="AF96" s="53">
        <v>139.29750000000001</v>
      </c>
      <c r="AG96" s="53">
        <v>139.29750000000001</v>
      </c>
      <c r="AH96" s="31">
        <v>0.3</v>
      </c>
      <c r="AI96" s="31">
        <v>0.24</v>
      </c>
      <c r="AJ96" s="29">
        <v>0.18</v>
      </c>
      <c r="AK96" s="29">
        <v>0.15</v>
      </c>
      <c r="AL96" s="62">
        <v>58</v>
      </c>
      <c r="AM96" s="135">
        <v>9</v>
      </c>
      <c r="AN96" s="31">
        <v>8.0000000000000002E-3</v>
      </c>
      <c r="AO96" s="31">
        <v>0.08</v>
      </c>
      <c r="AP96" s="31">
        <v>0.08</v>
      </c>
      <c r="AQ96" s="31">
        <v>0.04</v>
      </c>
      <c r="AR96" s="31">
        <v>0.08</v>
      </c>
      <c r="AS96" s="130">
        <v>53.06</v>
      </c>
      <c r="AT96" s="29">
        <v>0</v>
      </c>
      <c r="AU96" s="29">
        <v>0</v>
      </c>
      <c r="AV96" s="71">
        <v>0.47754000000000002</v>
      </c>
      <c r="AW96" s="71">
        <v>0</v>
      </c>
      <c r="AX96" s="71">
        <v>0</v>
      </c>
      <c r="AY96" s="71">
        <v>0</v>
      </c>
      <c r="AZ96" s="19">
        <v>0.87</v>
      </c>
      <c r="BA96" s="65">
        <v>4.97</v>
      </c>
      <c r="BB96" s="29" t="b">
        <v>0</v>
      </c>
      <c r="BC96" s="29" t="b">
        <v>0</v>
      </c>
      <c r="BD96" s="29" t="s">
        <v>79</v>
      </c>
      <c r="BE96" s="29" t="b">
        <v>0</v>
      </c>
      <c r="BF96" s="29" t="b">
        <v>0</v>
      </c>
      <c r="BG96" s="62" t="b">
        <v>0</v>
      </c>
      <c r="BH96" s="30">
        <v>0.96899999999999997</v>
      </c>
      <c r="BI96" s="29" t="b">
        <v>0</v>
      </c>
      <c r="BJ96" s="62" t="s">
        <v>393</v>
      </c>
      <c r="BK96" s="29" t="b">
        <v>0</v>
      </c>
      <c r="BL96" s="29" t="b">
        <v>0</v>
      </c>
      <c r="BM96" s="29">
        <v>0</v>
      </c>
      <c r="BN96" s="29">
        <v>0</v>
      </c>
      <c r="BO96" s="29">
        <v>0</v>
      </c>
      <c r="BP96" s="29">
        <v>0</v>
      </c>
      <c r="BQ96" s="29" t="b">
        <v>0</v>
      </c>
      <c r="BR96" s="29">
        <v>0</v>
      </c>
      <c r="BS96" s="53">
        <v>0</v>
      </c>
      <c r="BT96" s="62" t="b">
        <v>0</v>
      </c>
      <c r="BU96" s="29" t="b">
        <v>0</v>
      </c>
      <c r="BV96" s="29" t="b">
        <v>0</v>
      </c>
      <c r="BW96" s="29" t="s">
        <v>79</v>
      </c>
      <c r="BX96" s="62" t="b">
        <v>0</v>
      </c>
      <c r="BY96" s="62" t="s">
        <v>431</v>
      </c>
    </row>
    <row r="97" spans="1:77" x14ac:dyDescent="0.2">
      <c r="A97" s="18" t="s">
        <v>779</v>
      </c>
      <c r="B97" s="133" t="s">
        <v>780</v>
      </c>
      <c r="C97" s="17" t="s">
        <v>122</v>
      </c>
      <c r="D97" s="164" t="s">
        <v>282</v>
      </c>
      <c r="E97" s="164" t="s">
        <v>123</v>
      </c>
      <c r="F97" s="63" t="s">
        <v>22</v>
      </c>
      <c r="G97" s="19" t="s">
        <v>376</v>
      </c>
      <c r="H97" s="29" t="b">
        <v>1</v>
      </c>
      <c r="I97" s="37" t="s">
        <v>79</v>
      </c>
      <c r="J97" s="17" t="s">
        <v>79</v>
      </c>
      <c r="K97" s="29" t="b">
        <v>0</v>
      </c>
      <c r="L97" s="70">
        <v>0</v>
      </c>
      <c r="M97" s="19">
        <v>500</v>
      </c>
      <c r="N97" s="29">
        <v>0</v>
      </c>
      <c r="O97" s="29">
        <v>0</v>
      </c>
      <c r="P97" s="29">
        <v>0</v>
      </c>
      <c r="Q97" s="29">
        <v>0</v>
      </c>
      <c r="R97" s="31">
        <v>0.96899999999999997</v>
      </c>
      <c r="S97" s="31">
        <v>0.47</v>
      </c>
      <c r="T97" s="72">
        <v>3.1E-2</v>
      </c>
      <c r="U97" s="29">
        <v>0</v>
      </c>
      <c r="V97" s="29">
        <v>0</v>
      </c>
      <c r="W97" s="75">
        <v>1</v>
      </c>
      <c r="X97" s="29">
        <v>0</v>
      </c>
      <c r="Y97" s="29">
        <v>0</v>
      </c>
      <c r="Z97" s="29">
        <v>0</v>
      </c>
      <c r="AA97" s="29">
        <v>0</v>
      </c>
      <c r="AB97" s="134">
        <v>42.137799999999999</v>
      </c>
      <c r="AC97" s="134">
        <v>5.6195000000000004</v>
      </c>
      <c r="AD97" s="29" t="s">
        <v>568</v>
      </c>
      <c r="AE97" s="53">
        <v>3.2841</v>
      </c>
      <c r="AF97" s="53">
        <v>139.29750000000001</v>
      </c>
      <c r="AG97" s="53">
        <v>139.29750000000001</v>
      </c>
      <c r="AH97" s="31">
        <v>0.3</v>
      </c>
      <c r="AI97" s="31">
        <v>0.24</v>
      </c>
      <c r="AJ97" s="29">
        <v>0.18</v>
      </c>
      <c r="AK97" s="29">
        <v>0.15</v>
      </c>
      <c r="AL97" s="62">
        <v>58</v>
      </c>
      <c r="AM97" s="135">
        <v>10</v>
      </c>
      <c r="AN97" s="31">
        <v>8.0000000000000002E-3</v>
      </c>
      <c r="AO97" s="31">
        <v>0.08</v>
      </c>
      <c r="AP97" s="31">
        <v>0.08</v>
      </c>
      <c r="AQ97" s="31">
        <v>0.04</v>
      </c>
      <c r="AR97" s="31">
        <v>0.08</v>
      </c>
      <c r="AS97" s="130">
        <v>53.06</v>
      </c>
      <c r="AT97" s="29">
        <v>0</v>
      </c>
      <c r="AU97" s="29">
        <v>0</v>
      </c>
      <c r="AV97" s="71">
        <v>0.53060000000000007</v>
      </c>
      <c r="AW97" s="71">
        <v>0</v>
      </c>
      <c r="AX97" s="71">
        <v>0</v>
      </c>
      <c r="AY97" s="71">
        <v>0</v>
      </c>
      <c r="AZ97" s="19">
        <v>0.87</v>
      </c>
      <c r="BA97" s="65">
        <v>4.97</v>
      </c>
      <c r="BB97" s="29" t="b">
        <v>0</v>
      </c>
      <c r="BC97" s="29" t="b">
        <v>0</v>
      </c>
      <c r="BD97" s="29" t="s">
        <v>79</v>
      </c>
      <c r="BE97" s="29" t="b">
        <v>0</v>
      </c>
      <c r="BF97" s="29" t="b">
        <v>0</v>
      </c>
      <c r="BG97" s="62" t="b">
        <v>0</v>
      </c>
      <c r="BH97" s="30">
        <v>0.96899999999999997</v>
      </c>
      <c r="BI97" s="29" t="b">
        <v>0</v>
      </c>
      <c r="BJ97" s="62" t="s">
        <v>393</v>
      </c>
      <c r="BK97" s="29" t="b">
        <v>0</v>
      </c>
      <c r="BL97" s="29" t="b">
        <v>0</v>
      </c>
      <c r="BM97" s="29">
        <v>0</v>
      </c>
      <c r="BN97" s="29">
        <v>0</v>
      </c>
      <c r="BO97" s="29">
        <v>0</v>
      </c>
      <c r="BP97" s="29">
        <v>0</v>
      </c>
      <c r="BQ97" s="29" t="b">
        <v>0</v>
      </c>
      <c r="BR97" s="29">
        <v>0</v>
      </c>
      <c r="BS97" s="53">
        <v>0</v>
      </c>
      <c r="BT97" s="62" t="b">
        <v>0</v>
      </c>
      <c r="BU97" s="29" t="b">
        <v>0</v>
      </c>
      <c r="BV97" s="29" t="b">
        <v>0</v>
      </c>
      <c r="BW97" s="29" t="s">
        <v>79</v>
      </c>
      <c r="BX97" s="62" t="b">
        <v>0</v>
      </c>
      <c r="BY97" s="62" t="s">
        <v>431</v>
      </c>
    </row>
    <row r="98" spans="1:77" x14ac:dyDescent="0.2">
      <c r="A98" s="18" t="s">
        <v>781</v>
      </c>
      <c r="B98" s="133" t="s">
        <v>782</v>
      </c>
      <c r="C98" s="17" t="s">
        <v>122</v>
      </c>
      <c r="D98" s="164" t="s">
        <v>282</v>
      </c>
      <c r="E98" s="164" t="s">
        <v>123</v>
      </c>
      <c r="F98" s="63" t="s">
        <v>22</v>
      </c>
      <c r="G98" s="19" t="s">
        <v>376</v>
      </c>
      <c r="H98" s="29" t="b">
        <v>1</v>
      </c>
      <c r="I98" s="37" t="s">
        <v>79</v>
      </c>
      <c r="J98" s="17" t="s">
        <v>79</v>
      </c>
      <c r="K98" s="29" t="b">
        <v>0</v>
      </c>
      <c r="L98" s="70">
        <v>0</v>
      </c>
      <c r="M98" s="19">
        <v>500</v>
      </c>
      <c r="N98" s="29">
        <v>0</v>
      </c>
      <c r="O98" s="29">
        <v>0</v>
      </c>
      <c r="P98" s="29">
        <v>0</v>
      </c>
      <c r="Q98" s="29">
        <v>0</v>
      </c>
      <c r="R98" s="31">
        <v>0.96899999999999997</v>
      </c>
      <c r="S98" s="31">
        <v>0.47</v>
      </c>
      <c r="T98" s="72">
        <v>3.1E-2</v>
      </c>
      <c r="U98" s="29">
        <v>0</v>
      </c>
      <c r="V98" s="29">
        <v>0</v>
      </c>
      <c r="W98" s="75">
        <v>1</v>
      </c>
      <c r="X98" s="29">
        <v>0</v>
      </c>
      <c r="Y98" s="29">
        <v>0</v>
      </c>
      <c r="Z98" s="29">
        <v>0</v>
      </c>
      <c r="AA98" s="29">
        <v>0</v>
      </c>
      <c r="AB98" s="134">
        <v>30.3019</v>
      </c>
      <c r="AC98" s="134">
        <v>6.2625000000000002</v>
      </c>
      <c r="AD98" s="29" t="s">
        <v>568</v>
      </c>
      <c r="AE98" s="53">
        <v>3.2841</v>
      </c>
      <c r="AF98" s="53">
        <v>139.29750000000001</v>
      </c>
      <c r="AG98" s="53">
        <v>139.29750000000001</v>
      </c>
      <c r="AH98" s="31">
        <v>0.3</v>
      </c>
      <c r="AI98" s="31">
        <v>0.24</v>
      </c>
      <c r="AJ98" s="29">
        <v>0.18</v>
      </c>
      <c r="AK98" s="29">
        <v>0.15</v>
      </c>
      <c r="AL98" s="62">
        <v>58</v>
      </c>
      <c r="AM98" s="135">
        <v>11</v>
      </c>
      <c r="AN98" s="31">
        <v>8.0000000000000002E-3</v>
      </c>
      <c r="AO98" s="31">
        <v>0.08</v>
      </c>
      <c r="AP98" s="31">
        <v>0.08</v>
      </c>
      <c r="AQ98" s="31">
        <v>0.04</v>
      </c>
      <c r="AR98" s="31">
        <v>0.08</v>
      </c>
      <c r="AS98" s="130">
        <v>53.06</v>
      </c>
      <c r="AT98" s="29">
        <v>0</v>
      </c>
      <c r="AU98" s="29">
        <v>0</v>
      </c>
      <c r="AV98" s="71">
        <v>0.58366000000000007</v>
      </c>
      <c r="AW98" s="71">
        <v>0</v>
      </c>
      <c r="AX98" s="71">
        <v>0</v>
      </c>
      <c r="AY98" s="71">
        <v>0</v>
      </c>
      <c r="AZ98" s="19">
        <v>0.87</v>
      </c>
      <c r="BA98" s="65">
        <v>4.97</v>
      </c>
      <c r="BB98" s="29" t="b">
        <v>0</v>
      </c>
      <c r="BC98" s="29" t="b">
        <v>0</v>
      </c>
      <c r="BD98" s="29" t="s">
        <v>79</v>
      </c>
      <c r="BE98" s="29" t="b">
        <v>0</v>
      </c>
      <c r="BF98" s="29" t="b">
        <v>0</v>
      </c>
      <c r="BG98" s="62" t="b">
        <v>0</v>
      </c>
      <c r="BH98" s="30">
        <v>0.96899999999999997</v>
      </c>
      <c r="BI98" s="29" t="b">
        <v>0</v>
      </c>
      <c r="BJ98" s="62" t="s">
        <v>393</v>
      </c>
      <c r="BK98" s="29" t="b">
        <v>0</v>
      </c>
      <c r="BL98" s="29" t="b">
        <v>0</v>
      </c>
      <c r="BM98" s="29">
        <v>0</v>
      </c>
      <c r="BN98" s="29">
        <v>0</v>
      </c>
      <c r="BO98" s="29">
        <v>0</v>
      </c>
      <c r="BP98" s="29">
        <v>0</v>
      </c>
      <c r="BQ98" s="29" t="b">
        <v>0</v>
      </c>
      <c r="BR98" s="29">
        <v>0</v>
      </c>
      <c r="BS98" s="53">
        <v>0</v>
      </c>
      <c r="BT98" s="62" t="b">
        <v>0</v>
      </c>
      <c r="BU98" s="29" t="b">
        <v>0</v>
      </c>
      <c r="BV98" s="29" t="b">
        <v>0</v>
      </c>
      <c r="BW98" s="29" t="s">
        <v>79</v>
      </c>
      <c r="BX98" s="62" t="b">
        <v>0</v>
      </c>
      <c r="BY98" s="62" t="s">
        <v>431</v>
      </c>
    </row>
    <row r="99" spans="1:77" x14ac:dyDescent="0.2">
      <c r="A99" s="18" t="s">
        <v>783</v>
      </c>
      <c r="B99" s="133" t="s">
        <v>784</v>
      </c>
      <c r="C99" s="17" t="s">
        <v>122</v>
      </c>
      <c r="D99" s="164" t="s">
        <v>282</v>
      </c>
      <c r="E99" s="164" t="s">
        <v>123</v>
      </c>
      <c r="F99" s="63" t="s">
        <v>22</v>
      </c>
      <c r="G99" s="19" t="s">
        <v>376</v>
      </c>
      <c r="H99" s="29" t="b">
        <v>1</v>
      </c>
      <c r="I99" s="37" t="s">
        <v>79</v>
      </c>
      <c r="J99" s="17" t="s">
        <v>79</v>
      </c>
      <c r="K99" s="29" t="b">
        <v>0</v>
      </c>
      <c r="L99" s="70">
        <v>0</v>
      </c>
      <c r="M99" s="19">
        <v>500</v>
      </c>
      <c r="N99" s="29">
        <v>0</v>
      </c>
      <c r="O99" s="29">
        <v>0</v>
      </c>
      <c r="P99" s="29">
        <v>0</v>
      </c>
      <c r="Q99" s="29">
        <v>0</v>
      </c>
      <c r="R99" s="31">
        <v>0.96899999999999997</v>
      </c>
      <c r="S99" s="31">
        <v>0.47</v>
      </c>
      <c r="T99" s="72">
        <v>3.1E-2</v>
      </c>
      <c r="U99" s="29">
        <v>0</v>
      </c>
      <c r="V99" s="29">
        <v>0</v>
      </c>
      <c r="W99" s="75">
        <v>1</v>
      </c>
      <c r="X99" s="29">
        <v>0</v>
      </c>
      <c r="Y99" s="29">
        <v>0</v>
      </c>
      <c r="Z99" s="29">
        <v>0</v>
      </c>
      <c r="AA99" s="29">
        <v>0</v>
      </c>
      <c r="AB99" s="134">
        <v>49.8476</v>
      </c>
      <c r="AC99" s="134">
        <v>7.0770999999999997</v>
      </c>
      <c r="AD99" s="29" t="s">
        <v>568</v>
      </c>
      <c r="AE99" s="53">
        <v>3.2841</v>
      </c>
      <c r="AF99" s="53">
        <v>139.29750000000001</v>
      </c>
      <c r="AG99" s="53">
        <v>139.29750000000001</v>
      </c>
      <c r="AH99" s="31">
        <v>0.3</v>
      </c>
      <c r="AI99" s="31">
        <v>0.24</v>
      </c>
      <c r="AJ99" s="29">
        <v>0.18</v>
      </c>
      <c r="AK99" s="29">
        <v>0.15</v>
      </c>
      <c r="AL99" s="62">
        <v>58</v>
      </c>
      <c r="AM99" s="135">
        <v>12</v>
      </c>
      <c r="AN99" s="31">
        <v>8.0000000000000002E-3</v>
      </c>
      <c r="AO99" s="31">
        <v>0.08</v>
      </c>
      <c r="AP99" s="31">
        <v>0.08</v>
      </c>
      <c r="AQ99" s="31">
        <v>0.04</v>
      </c>
      <c r="AR99" s="31">
        <v>0.08</v>
      </c>
      <c r="AS99" s="130">
        <v>53.06</v>
      </c>
      <c r="AT99" s="29">
        <v>0</v>
      </c>
      <c r="AU99" s="29">
        <v>0</v>
      </c>
      <c r="AV99" s="71">
        <v>0.63672000000000006</v>
      </c>
      <c r="AW99" s="71">
        <v>0</v>
      </c>
      <c r="AX99" s="71">
        <v>0</v>
      </c>
      <c r="AY99" s="71">
        <v>0</v>
      </c>
      <c r="AZ99" s="19">
        <v>0.87</v>
      </c>
      <c r="BA99" s="65">
        <v>4.97</v>
      </c>
      <c r="BB99" s="29" t="b">
        <v>0</v>
      </c>
      <c r="BC99" s="29" t="b">
        <v>0</v>
      </c>
      <c r="BD99" s="29" t="s">
        <v>79</v>
      </c>
      <c r="BE99" s="29" t="b">
        <v>0</v>
      </c>
      <c r="BF99" s="29" t="b">
        <v>0</v>
      </c>
      <c r="BG99" s="62" t="b">
        <v>0</v>
      </c>
      <c r="BH99" s="30">
        <v>0.96899999999999997</v>
      </c>
      <c r="BI99" s="29" t="b">
        <v>0</v>
      </c>
      <c r="BJ99" s="62" t="s">
        <v>393</v>
      </c>
      <c r="BK99" s="29" t="b">
        <v>0</v>
      </c>
      <c r="BL99" s="29" t="b">
        <v>0</v>
      </c>
      <c r="BM99" s="29">
        <v>0</v>
      </c>
      <c r="BN99" s="29">
        <v>0</v>
      </c>
      <c r="BO99" s="29">
        <v>0</v>
      </c>
      <c r="BP99" s="29">
        <v>0</v>
      </c>
      <c r="BQ99" s="29" t="b">
        <v>0</v>
      </c>
      <c r="BR99" s="29">
        <v>0</v>
      </c>
      <c r="BS99" s="53">
        <v>0</v>
      </c>
      <c r="BT99" s="62" t="b">
        <v>0</v>
      </c>
      <c r="BU99" s="29" t="b">
        <v>0</v>
      </c>
      <c r="BV99" s="29" t="b">
        <v>0</v>
      </c>
      <c r="BW99" s="29" t="s">
        <v>79</v>
      </c>
      <c r="BX99" s="62" t="b">
        <v>0</v>
      </c>
      <c r="BY99" s="62" t="s">
        <v>431</v>
      </c>
    </row>
    <row r="100" spans="1:77" x14ac:dyDescent="0.2">
      <c r="A100" s="18" t="s">
        <v>785</v>
      </c>
      <c r="B100" s="133" t="s">
        <v>786</v>
      </c>
      <c r="C100" s="17" t="s">
        <v>122</v>
      </c>
      <c r="D100" s="164" t="s">
        <v>282</v>
      </c>
      <c r="E100" s="164" t="s">
        <v>123</v>
      </c>
      <c r="F100" s="63" t="s">
        <v>22</v>
      </c>
      <c r="G100" s="19" t="s">
        <v>376</v>
      </c>
      <c r="H100" s="29" t="b">
        <v>1</v>
      </c>
      <c r="I100" s="37" t="s">
        <v>79</v>
      </c>
      <c r="J100" s="17" t="s">
        <v>79</v>
      </c>
      <c r="K100" s="29" t="b">
        <v>0</v>
      </c>
      <c r="L100" s="70">
        <v>0</v>
      </c>
      <c r="M100" s="19">
        <v>500</v>
      </c>
      <c r="N100" s="29">
        <v>0</v>
      </c>
      <c r="O100" s="29">
        <v>0</v>
      </c>
      <c r="P100" s="29">
        <v>0</v>
      </c>
      <c r="Q100" s="29">
        <v>0</v>
      </c>
      <c r="R100" s="31">
        <v>0.96899999999999997</v>
      </c>
      <c r="S100" s="31">
        <v>0.47</v>
      </c>
      <c r="T100" s="72">
        <v>3.1E-2</v>
      </c>
      <c r="U100" s="29">
        <v>0</v>
      </c>
      <c r="V100" s="29">
        <v>0</v>
      </c>
      <c r="W100" s="75">
        <v>1</v>
      </c>
      <c r="X100" s="29">
        <v>0</v>
      </c>
      <c r="Y100" s="29">
        <v>0</v>
      </c>
      <c r="Z100" s="29">
        <v>0</v>
      </c>
      <c r="AA100" s="29">
        <v>0</v>
      </c>
      <c r="AB100" s="134">
        <v>20.382400000000001</v>
      </c>
      <c r="AC100" s="134">
        <v>5.9515000000000002</v>
      </c>
      <c r="AD100" s="29" t="s">
        <v>568</v>
      </c>
      <c r="AE100" s="53">
        <v>3.2841</v>
      </c>
      <c r="AF100" s="53">
        <v>139.29750000000001</v>
      </c>
      <c r="AG100" s="53">
        <v>139.29750000000001</v>
      </c>
      <c r="AH100" s="31">
        <v>0.3</v>
      </c>
      <c r="AI100" s="31">
        <v>0.24</v>
      </c>
      <c r="AJ100" s="29">
        <v>0.18</v>
      </c>
      <c r="AK100" s="29">
        <v>0.15</v>
      </c>
      <c r="AL100" s="62">
        <v>58</v>
      </c>
      <c r="AM100" s="135">
        <v>13</v>
      </c>
      <c r="AN100" s="31">
        <v>8.0000000000000002E-3</v>
      </c>
      <c r="AO100" s="31">
        <v>0.08</v>
      </c>
      <c r="AP100" s="31">
        <v>0.08</v>
      </c>
      <c r="AQ100" s="31">
        <v>0.04</v>
      </c>
      <c r="AR100" s="31">
        <v>0.08</v>
      </c>
      <c r="AS100" s="130">
        <v>53.06</v>
      </c>
      <c r="AT100" s="29">
        <v>0</v>
      </c>
      <c r="AU100" s="29">
        <v>0</v>
      </c>
      <c r="AV100" s="71">
        <v>0.68977999999999995</v>
      </c>
      <c r="AW100" s="71">
        <v>0</v>
      </c>
      <c r="AX100" s="71">
        <v>0</v>
      </c>
      <c r="AY100" s="71">
        <v>0</v>
      </c>
      <c r="AZ100" s="19">
        <v>0.87</v>
      </c>
      <c r="BA100" s="65">
        <v>4.97</v>
      </c>
      <c r="BB100" s="29" t="b">
        <v>0</v>
      </c>
      <c r="BC100" s="29" t="b">
        <v>0</v>
      </c>
      <c r="BD100" s="29" t="s">
        <v>79</v>
      </c>
      <c r="BE100" s="29" t="b">
        <v>0</v>
      </c>
      <c r="BF100" s="29" t="b">
        <v>0</v>
      </c>
      <c r="BG100" s="62" t="b">
        <v>0</v>
      </c>
      <c r="BH100" s="30">
        <v>0.96899999999999997</v>
      </c>
      <c r="BI100" s="29" t="b">
        <v>0</v>
      </c>
      <c r="BJ100" s="62" t="s">
        <v>393</v>
      </c>
      <c r="BK100" s="29" t="b">
        <v>0</v>
      </c>
      <c r="BL100" s="29" t="b">
        <v>0</v>
      </c>
      <c r="BM100" s="29">
        <v>0</v>
      </c>
      <c r="BN100" s="29">
        <v>0</v>
      </c>
      <c r="BO100" s="29">
        <v>0</v>
      </c>
      <c r="BP100" s="29">
        <v>0</v>
      </c>
      <c r="BQ100" s="29" t="b">
        <v>0</v>
      </c>
      <c r="BR100" s="29">
        <v>0</v>
      </c>
      <c r="BS100" s="53">
        <v>0</v>
      </c>
      <c r="BT100" s="62" t="b">
        <v>0</v>
      </c>
      <c r="BU100" s="29" t="b">
        <v>0</v>
      </c>
      <c r="BV100" s="29" t="b">
        <v>0</v>
      </c>
      <c r="BW100" s="29" t="s">
        <v>79</v>
      </c>
      <c r="BX100" s="62" t="b">
        <v>0</v>
      </c>
      <c r="BY100" s="62" t="s">
        <v>431</v>
      </c>
    </row>
    <row r="101" spans="1:77" x14ac:dyDescent="0.2">
      <c r="A101" s="18" t="s">
        <v>787</v>
      </c>
      <c r="B101" s="133" t="s">
        <v>788</v>
      </c>
      <c r="C101" s="17" t="s">
        <v>122</v>
      </c>
      <c r="D101" s="164" t="s">
        <v>282</v>
      </c>
      <c r="E101" s="164" t="s">
        <v>123</v>
      </c>
      <c r="F101" s="63" t="s">
        <v>22</v>
      </c>
      <c r="G101" s="19" t="s">
        <v>376</v>
      </c>
      <c r="H101" s="29" t="b">
        <v>1</v>
      </c>
      <c r="I101" s="37" t="s">
        <v>79</v>
      </c>
      <c r="J101" s="17" t="s">
        <v>79</v>
      </c>
      <c r="K101" s="29" t="b">
        <v>0</v>
      </c>
      <c r="L101" s="70">
        <v>0</v>
      </c>
      <c r="M101" s="19">
        <v>500</v>
      </c>
      <c r="N101" s="29">
        <v>0</v>
      </c>
      <c r="O101" s="29">
        <v>0</v>
      </c>
      <c r="P101" s="29">
        <v>0</v>
      </c>
      <c r="Q101" s="29">
        <v>0</v>
      </c>
      <c r="R101" s="31">
        <v>0.96899999999999997</v>
      </c>
      <c r="S101" s="31">
        <v>0.47</v>
      </c>
      <c r="T101" s="72">
        <v>3.1E-2</v>
      </c>
      <c r="U101" s="29">
        <v>0</v>
      </c>
      <c r="V101" s="29">
        <v>0</v>
      </c>
      <c r="W101" s="75">
        <v>1</v>
      </c>
      <c r="X101" s="29">
        <v>0</v>
      </c>
      <c r="Y101" s="29">
        <v>0</v>
      </c>
      <c r="Z101" s="29">
        <v>0</v>
      </c>
      <c r="AA101" s="29">
        <v>0</v>
      </c>
      <c r="AB101" s="134">
        <v>31.206700000000001</v>
      </c>
      <c r="AC101" s="134">
        <v>3.395</v>
      </c>
      <c r="AD101" s="29" t="s">
        <v>568</v>
      </c>
      <c r="AE101" s="53">
        <v>3.2841</v>
      </c>
      <c r="AF101" s="53">
        <v>139.29750000000001</v>
      </c>
      <c r="AG101" s="53">
        <v>139.29750000000001</v>
      </c>
      <c r="AH101" s="31">
        <v>0.3</v>
      </c>
      <c r="AI101" s="31">
        <v>0.24</v>
      </c>
      <c r="AJ101" s="29">
        <v>0.18</v>
      </c>
      <c r="AK101" s="29">
        <v>0.15</v>
      </c>
      <c r="AL101" s="62">
        <v>58</v>
      </c>
      <c r="AM101" s="135">
        <v>14</v>
      </c>
      <c r="AN101" s="31">
        <v>8.0000000000000002E-3</v>
      </c>
      <c r="AO101" s="31">
        <v>0.08</v>
      </c>
      <c r="AP101" s="31">
        <v>0.08</v>
      </c>
      <c r="AQ101" s="31">
        <v>0.04</v>
      </c>
      <c r="AR101" s="31">
        <v>0.08</v>
      </c>
      <c r="AS101" s="130">
        <v>53.06</v>
      </c>
      <c r="AT101" s="29">
        <v>0</v>
      </c>
      <c r="AU101" s="29">
        <v>0</v>
      </c>
      <c r="AV101" s="71">
        <v>0.74284000000000006</v>
      </c>
      <c r="AW101" s="71">
        <v>0</v>
      </c>
      <c r="AX101" s="71">
        <v>0</v>
      </c>
      <c r="AY101" s="71">
        <v>0</v>
      </c>
      <c r="AZ101" s="19">
        <v>0.87</v>
      </c>
      <c r="BA101" s="65">
        <v>4.97</v>
      </c>
      <c r="BB101" s="29" t="b">
        <v>0</v>
      </c>
      <c r="BC101" s="29" t="b">
        <v>0</v>
      </c>
      <c r="BD101" s="29" t="s">
        <v>79</v>
      </c>
      <c r="BE101" s="29" t="b">
        <v>0</v>
      </c>
      <c r="BF101" s="29" t="b">
        <v>0</v>
      </c>
      <c r="BG101" s="62" t="b">
        <v>0</v>
      </c>
      <c r="BH101" s="30">
        <v>0.96899999999999997</v>
      </c>
      <c r="BI101" s="29" t="b">
        <v>0</v>
      </c>
      <c r="BJ101" s="62" t="s">
        <v>393</v>
      </c>
      <c r="BK101" s="29" t="b">
        <v>0</v>
      </c>
      <c r="BL101" s="29" t="b">
        <v>0</v>
      </c>
      <c r="BM101" s="29">
        <v>0</v>
      </c>
      <c r="BN101" s="29">
        <v>0</v>
      </c>
      <c r="BO101" s="29">
        <v>0</v>
      </c>
      <c r="BP101" s="29">
        <v>0</v>
      </c>
      <c r="BQ101" s="29" t="b">
        <v>0</v>
      </c>
      <c r="BR101" s="29">
        <v>0</v>
      </c>
      <c r="BS101" s="53">
        <v>0</v>
      </c>
      <c r="BT101" s="62" t="b">
        <v>0</v>
      </c>
      <c r="BU101" s="29" t="b">
        <v>0</v>
      </c>
      <c r="BV101" s="29" t="b">
        <v>0</v>
      </c>
      <c r="BW101" s="29" t="s">
        <v>79</v>
      </c>
      <c r="BX101" s="62" t="b">
        <v>0</v>
      </c>
      <c r="BY101" s="62" t="s">
        <v>431</v>
      </c>
    </row>
    <row r="102" spans="1:77" x14ac:dyDescent="0.2">
      <c r="A102" s="18" t="s">
        <v>789</v>
      </c>
      <c r="B102" s="133" t="s">
        <v>790</v>
      </c>
      <c r="C102" s="17" t="s">
        <v>122</v>
      </c>
      <c r="D102" s="164" t="s">
        <v>282</v>
      </c>
      <c r="E102" s="164" t="s">
        <v>123</v>
      </c>
      <c r="F102" s="63" t="s">
        <v>22</v>
      </c>
      <c r="G102" s="19" t="s">
        <v>376</v>
      </c>
      <c r="H102" s="29" t="b">
        <v>1</v>
      </c>
      <c r="I102" s="37" t="s">
        <v>79</v>
      </c>
      <c r="J102" s="17" t="s">
        <v>79</v>
      </c>
      <c r="K102" s="29" t="b">
        <v>0</v>
      </c>
      <c r="L102" s="70">
        <v>0</v>
      </c>
      <c r="M102" s="19">
        <v>500</v>
      </c>
      <c r="N102" s="29">
        <v>0</v>
      </c>
      <c r="O102" s="29">
        <v>0</v>
      </c>
      <c r="P102" s="29">
        <v>0</v>
      </c>
      <c r="Q102" s="29">
        <v>0</v>
      </c>
      <c r="R102" s="31">
        <v>0.96899999999999997</v>
      </c>
      <c r="S102" s="31">
        <v>0.47</v>
      </c>
      <c r="T102" s="72">
        <v>3.1E-2</v>
      </c>
      <c r="U102" s="29">
        <v>0</v>
      </c>
      <c r="V102" s="29">
        <v>0</v>
      </c>
      <c r="W102" s="75">
        <v>1</v>
      </c>
      <c r="X102" s="29">
        <v>0</v>
      </c>
      <c r="Y102" s="29">
        <v>0</v>
      </c>
      <c r="Z102" s="29">
        <v>0</v>
      </c>
      <c r="AA102" s="29">
        <v>0</v>
      </c>
      <c r="AB102" s="134">
        <v>27.9786</v>
      </c>
      <c r="AC102" s="134">
        <v>9.2623999999999995</v>
      </c>
      <c r="AD102" s="29" t="s">
        <v>568</v>
      </c>
      <c r="AE102" s="53">
        <v>3.2841</v>
      </c>
      <c r="AF102" s="53">
        <v>139.29750000000001</v>
      </c>
      <c r="AG102" s="53">
        <v>139.29750000000001</v>
      </c>
      <c r="AH102" s="31">
        <v>0.3</v>
      </c>
      <c r="AI102" s="31">
        <v>0.24</v>
      </c>
      <c r="AJ102" s="29">
        <v>0.18</v>
      </c>
      <c r="AK102" s="29">
        <v>0.15</v>
      </c>
      <c r="AL102" s="62">
        <v>58</v>
      </c>
      <c r="AM102" s="135">
        <v>15</v>
      </c>
      <c r="AN102" s="31">
        <v>8.0000000000000002E-3</v>
      </c>
      <c r="AO102" s="31">
        <v>0.08</v>
      </c>
      <c r="AP102" s="31">
        <v>0.08</v>
      </c>
      <c r="AQ102" s="31">
        <v>0.04</v>
      </c>
      <c r="AR102" s="31">
        <v>0.08</v>
      </c>
      <c r="AS102" s="130">
        <v>53.06</v>
      </c>
      <c r="AT102" s="29">
        <v>0</v>
      </c>
      <c r="AU102" s="29">
        <v>0</v>
      </c>
      <c r="AV102" s="71">
        <v>0.79590000000000005</v>
      </c>
      <c r="AW102" s="71">
        <v>0</v>
      </c>
      <c r="AX102" s="71">
        <v>0</v>
      </c>
      <c r="AY102" s="71">
        <v>0</v>
      </c>
      <c r="AZ102" s="19">
        <v>0.87</v>
      </c>
      <c r="BA102" s="65">
        <v>4.97</v>
      </c>
      <c r="BB102" s="29" t="b">
        <v>0</v>
      </c>
      <c r="BC102" s="29" t="b">
        <v>0</v>
      </c>
      <c r="BD102" s="29" t="s">
        <v>79</v>
      </c>
      <c r="BE102" s="29" t="b">
        <v>0</v>
      </c>
      <c r="BF102" s="29" t="b">
        <v>0</v>
      </c>
      <c r="BG102" s="62" t="b">
        <v>0</v>
      </c>
      <c r="BH102" s="30">
        <v>0.96899999999999997</v>
      </c>
      <c r="BI102" s="29" t="b">
        <v>0</v>
      </c>
      <c r="BJ102" s="62" t="s">
        <v>393</v>
      </c>
      <c r="BK102" s="29" t="b">
        <v>0</v>
      </c>
      <c r="BL102" s="29" t="b">
        <v>0</v>
      </c>
      <c r="BM102" s="29">
        <v>0</v>
      </c>
      <c r="BN102" s="29">
        <v>0</v>
      </c>
      <c r="BO102" s="29">
        <v>0</v>
      </c>
      <c r="BP102" s="29">
        <v>0</v>
      </c>
      <c r="BQ102" s="29" t="b">
        <v>0</v>
      </c>
      <c r="BR102" s="29">
        <v>0</v>
      </c>
      <c r="BS102" s="53">
        <v>0</v>
      </c>
      <c r="BT102" s="62" t="b">
        <v>0</v>
      </c>
      <c r="BU102" s="29" t="b">
        <v>0</v>
      </c>
      <c r="BV102" s="29" t="b">
        <v>0</v>
      </c>
      <c r="BW102" s="29" t="s">
        <v>79</v>
      </c>
      <c r="BX102" s="62" t="b">
        <v>0</v>
      </c>
      <c r="BY102" s="62" t="s">
        <v>431</v>
      </c>
    </row>
    <row r="103" spans="1:77" x14ac:dyDescent="0.2">
      <c r="A103" s="18" t="s">
        <v>791</v>
      </c>
      <c r="B103" s="133" t="s">
        <v>792</v>
      </c>
      <c r="C103" s="17" t="s">
        <v>75</v>
      </c>
      <c r="D103" s="164" t="s">
        <v>28</v>
      </c>
      <c r="E103" s="164" t="s">
        <v>28</v>
      </c>
      <c r="F103" s="63" t="s">
        <v>22</v>
      </c>
      <c r="G103" s="19" t="s">
        <v>376</v>
      </c>
      <c r="H103" s="37" t="s">
        <v>79</v>
      </c>
      <c r="I103" s="29" t="b">
        <v>0</v>
      </c>
      <c r="J103" s="17" t="s">
        <v>79</v>
      </c>
      <c r="K103" s="29" t="b">
        <v>0</v>
      </c>
      <c r="L103" s="70">
        <v>0</v>
      </c>
      <c r="M103" s="19">
        <v>300</v>
      </c>
      <c r="N103" s="29">
        <v>0</v>
      </c>
      <c r="O103" s="29">
        <v>0</v>
      </c>
      <c r="P103" s="29">
        <v>24</v>
      </c>
      <c r="Q103" s="29">
        <v>24</v>
      </c>
      <c r="R103" s="31">
        <v>0.96799999999999997</v>
      </c>
      <c r="S103" s="31">
        <v>0.45</v>
      </c>
      <c r="T103" s="72">
        <v>3.2000000000000001E-2</v>
      </c>
      <c r="U103" s="29">
        <v>0</v>
      </c>
      <c r="V103" s="29">
        <v>0</v>
      </c>
      <c r="W103" s="75">
        <v>1</v>
      </c>
      <c r="X103" s="29">
        <v>0</v>
      </c>
      <c r="Y103" s="29">
        <v>0</v>
      </c>
      <c r="Z103" s="29">
        <v>0</v>
      </c>
      <c r="AA103" s="29">
        <v>0</v>
      </c>
      <c r="AB103" s="134">
        <v>3.7951000000000001</v>
      </c>
      <c r="AC103" s="134">
        <v>2.9701</v>
      </c>
      <c r="AD103" s="29" t="s">
        <v>568</v>
      </c>
      <c r="AE103" s="53">
        <v>3.5424000000000002</v>
      </c>
      <c r="AF103" s="53">
        <v>139.29750000000001</v>
      </c>
      <c r="AG103" s="53">
        <v>139.29750000000001</v>
      </c>
      <c r="AH103" s="31">
        <v>0.3</v>
      </c>
      <c r="AI103" s="31">
        <v>0.24</v>
      </c>
      <c r="AJ103" s="29">
        <v>0.18</v>
      </c>
      <c r="AK103" s="29">
        <v>0.15</v>
      </c>
      <c r="AL103" s="62">
        <v>50</v>
      </c>
      <c r="AM103" s="135">
        <v>4.5999999999999996</v>
      </c>
      <c r="AN103" s="31">
        <v>0.08</v>
      </c>
      <c r="AO103" s="31">
        <v>0.8</v>
      </c>
      <c r="AP103" s="31">
        <v>0.8</v>
      </c>
      <c r="AQ103" s="31">
        <v>0.4</v>
      </c>
      <c r="AR103" s="31">
        <v>0.8</v>
      </c>
      <c r="AS103" s="130">
        <v>53.06</v>
      </c>
      <c r="AT103" s="134">
        <v>0.46372712858560711</v>
      </c>
      <c r="AU103" s="134">
        <v>609337.44696148776</v>
      </c>
      <c r="AV103" s="71">
        <v>0.24407599999999999</v>
      </c>
      <c r="AW103" s="71">
        <v>0</v>
      </c>
      <c r="AX103" s="71">
        <v>0</v>
      </c>
      <c r="AY103" s="71">
        <v>0</v>
      </c>
      <c r="AZ103" s="19">
        <v>0.87</v>
      </c>
      <c r="BA103" s="65">
        <v>5.29</v>
      </c>
      <c r="BB103" s="29" t="b">
        <v>0</v>
      </c>
      <c r="BC103" s="29" t="b">
        <v>0</v>
      </c>
      <c r="BD103" s="29" t="s">
        <v>79</v>
      </c>
      <c r="BE103" s="29" t="b">
        <v>0</v>
      </c>
      <c r="BF103" s="29" t="b">
        <v>0</v>
      </c>
      <c r="BG103" s="62" t="b">
        <v>0</v>
      </c>
      <c r="BH103" s="30">
        <v>0.96799999999999997</v>
      </c>
      <c r="BI103" s="29" t="b">
        <v>0</v>
      </c>
      <c r="BJ103" s="62" t="s">
        <v>392</v>
      </c>
      <c r="BK103" s="29" t="b">
        <v>0</v>
      </c>
      <c r="BL103" s="29" t="b">
        <v>0</v>
      </c>
      <c r="BM103" s="29">
        <v>0</v>
      </c>
      <c r="BN103" s="29">
        <v>0</v>
      </c>
      <c r="BO103" s="29">
        <v>0</v>
      </c>
      <c r="BP103" s="29">
        <v>0</v>
      </c>
      <c r="BQ103" s="29" t="b">
        <v>0</v>
      </c>
      <c r="BR103" s="29">
        <v>0</v>
      </c>
      <c r="BS103" s="53">
        <v>0</v>
      </c>
      <c r="BT103" s="62" t="b">
        <v>0</v>
      </c>
      <c r="BU103" s="29" t="b">
        <v>0</v>
      </c>
      <c r="BV103" s="29" t="b">
        <v>0</v>
      </c>
      <c r="BW103" s="29" t="s">
        <v>79</v>
      </c>
      <c r="BX103" s="62" t="b">
        <v>0</v>
      </c>
      <c r="BY103" s="62" t="s">
        <v>431</v>
      </c>
    </row>
    <row r="104" spans="1:77" x14ac:dyDescent="0.2">
      <c r="A104" s="18" t="s">
        <v>793</v>
      </c>
      <c r="B104" s="133" t="s">
        <v>794</v>
      </c>
      <c r="C104" s="17" t="s">
        <v>129</v>
      </c>
      <c r="D104" s="164" t="s">
        <v>282</v>
      </c>
      <c r="E104" s="164" t="s">
        <v>612</v>
      </c>
      <c r="F104" s="63" t="s">
        <v>22</v>
      </c>
      <c r="G104" s="19" t="s">
        <v>376</v>
      </c>
      <c r="H104" s="29" t="b">
        <v>0</v>
      </c>
      <c r="I104" s="37" t="s">
        <v>79</v>
      </c>
      <c r="J104" s="17" t="s">
        <v>79</v>
      </c>
      <c r="K104" s="29" t="b">
        <v>0</v>
      </c>
      <c r="L104" s="70">
        <v>0</v>
      </c>
      <c r="M104" s="19">
        <v>300</v>
      </c>
      <c r="N104" s="29">
        <v>0</v>
      </c>
      <c r="O104" s="29">
        <v>0</v>
      </c>
      <c r="P104" s="29">
        <v>0</v>
      </c>
      <c r="Q104" s="29">
        <v>0</v>
      </c>
      <c r="R104" s="31">
        <v>0.96799999999999997</v>
      </c>
      <c r="S104" s="31">
        <v>0.45</v>
      </c>
      <c r="T104" s="72">
        <v>3.2000000000000001E-2</v>
      </c>
      <c r="U104" s="29">
        <v>0</v>
      </c>
      <c r="V104" s="29">
        <v>0</v>
      </c>
      <c r="W104" s="75">
        <v>1</v>
      </c>
      <c r="X104" s="29">
        <v>0</v>
      </c>
      <c r="Y104" s="29">
        <v>0</v>
      </c>
      <c r="Z104" s="29">
        <v>0</v>
      </c>
      <c r="AA104" s="29">
        <v>0</v>
      </c>
      <c r="AB104" s="134">
        <v>35.876300000000001</v>
      </c>
      <c r="AC104" s="134">
        <v>0.69069999999999998</v>
      </c>
      <c r="AD104" s="29" t="s">
        <v>568</v>
      </c>
      <c r="AE104" s="53">
        <v>3.5424000000000002</v>
      </c>
      <c r="AF104" s="53">
        <v>139.29750000000001</v>
      </c>
      <c r="AG104" s="53">
        <v>139.29750000000001</v>
      </c>
      <c r="AH104" s="31">
        <v>0.3</v>
      </c>
      <c r="AI104" s="31">
        <v>0.24</v>
      </c>
      <c r="AJ104" s="29">
        <v>0.18</v>
      </c>
      <c r="AK104" s="29">
        <v>0.15</v>
      </c>
      <c r="AL104" s="62">
        <v>50</v>
      </c>
      <c r="AM104" s="135">
        <v>6</v>
      </c>
      <c r="AN104" s="31">
        <v>0.08</v>
      </c>
      <c r="AO104" s="31">
        <v>0.8</v>
      </c>
      <c r="AP104" s="31">
        <v>0.8</v>
      </c>
      <c r="AQ104" s="31">
        <v>0.4</v>
      </c>
      <c r="AR104" s="31">
        <v>0.8</v>
      </c>
      <c r="AS104" s="130">
        <v>53.06</v>
      </c>
      <c r="AT104" s="29">
        <v>0</v>
      </c>
      <c r="AU104" s="29">
        <v>0</v>
      </c>
      <c r="AV104" s="71">
        <v>0.31835999999999998</v>
      </c>
      <c r="AW104" s="71">
        <v>0</v>
      </c>
      <c r="AX104" s="71">
        <v>0</v>
      </c>
      <c r="AY104" s="71">
        <v>0</v>
      </c>
      <c r="AZ104" s="19">
        <v>0.87</v>
      </c>
      <c r="BA104" s="65">
        <v>5.29</v>
      </c>
      <c r="BB104" s="29" t="b">
        <v>0</v>
      </c>
      <c r="BC104" s="29" t="b">
        <v>0</v>
      </c>
      <c r="BD104" s="29" t="s">
        <v>79</v>
      </c>
      <c r="BE104" s="29" t="b">
        <v>0</v>
      </c>
      <c r="BF104" s="29" t="b">
        <v>0</v>
      </c>
      <c r="BG104" s="62" t="b">
        <v>0</v>
      </c>
      <c r="BH104" s="30">
        <v>0.96799999999999997</v>
      </c>
      <c r="BI104" s="29" t="b">
        <v>0</v>
      </c>
      <c r="BJ104" s="62" t="s">
        <v>392</v>
      </c>
      <c r="BK104" s="29" t="b">
        <v>0</v>
      </c>
      <c r="BL104" s="29" t="b">
        <v>0</v>
      </c>
      <c r="BM104" s="29">
        <v>0</v>
      </c>
      <c r="BN104" s="29">
        <v>0</v>
      </c>
      <c r="BO104" s="29">
        <v>0</v>
      </c>
      <c r="BP104" s="29">
        <v>0</v>
      </c>
      <c r="BQ104" s="29" t="b">
        <v>0</v>
      </c>
      <c r="BR104" s="29">
        <v>0</v>
      </c>
      <c r="BS104" s="53">
        <v>0</v>
      </c>
      <c r="BT104" s="62" t="b">
        <v>0</v>
      </c>
      <c r="BU104" s="29" t="b">
        <v>0</v>
      </c>
      <c r="BV104" s="29" t="b">
        <v>0</v>
      </c>
      <c r="BW104" s="29" t="s">
        <v>79</v>
      </c>
      <c r="BX104" s="62" t="b">
        <v>0</v>
      </c>
      <c r="BY104" s="62" t="s">
        <v>431</v>
      </c>
    </row>
    <row r="105" spans="1:77" x14ac:dyDescent="0.2">
      <c r="A105" s="18" t="s">
        <v>795</v>
      </c>
      <c r="B105" s="133" t="s">
        <v>796</v>
      </c>
      <c r="C105" s="17" t="s">
        <v>129</v>
      </c>
      <c r="D105" s="164" t="s">
        <v>282</v>
      </c>
      <c r="E105" s="164" t="s">
        <v>612</v>
      </c>
      <c r="F105" s="63" t="s">
        <v>22</v>
      </c>
      <c r="G105" s="19" t="s">
        <v>376</v>
      </c>
      <c r="H105" s="29" t="b">
        <v>0</v>
      </c>
      <c r="I105" s="37" t="s">
        <v>79</v>
      </c>
      <c r="J105" s="17" t="s">
        <v>79</v>
      </c>
      <c r="K105" s="29" t="b">
        <v>0</v>
      </c>
      <c r="L105" s="70">
        <v>0</v>
      </c>
      <c r="M105" s="19">
        <v>300</v>
      </c>
      <c r="N105" s="29">
        <v>0</v>
      </c>
      <c r="O105" s="29">
        <v>0</v>
      </c>
      <c r="P105" s="29">
        <v>0</v>
      </c>
      <c r="Q105" s="29">
        <v>0</v>
      </c>
      <c r="R105" s="31">
        <v>0.96799999999999997</v>
      </c>
      <c r="S105" s="31">
        <v>0.45</v>
      </c>
      <c r="T105" s="72">
        <v>3.2000000000000001E-2</v>
      </c>
      <c r="U105" s="29">
        <v>0</v>
      </c>
      <c r="V105" s="29">
        <v>0</v>
      </c>
      <c r="W105" s="75">
        <v>1</v>
      </c>
      <c r="X105" s="29">
        <v>0</v>
      </c>
      <c r="Y105" s="29">
        <v>0</v>
      </c>
      <c r="Z105" s="29">
        <v>0</v>
      </c>
      <c r="AA105" s="29">
        <v>0</v>
      </c>
      <c r="AB105" s="134">
        <v>30.8536</v>
      </c>
      <c r="AC105" s="134">
        <v>0.59399999999999997</v>
      </c>
      <c r="AD105" s="29" t="s">
        <v>568</v>
      </c>
      <c r="AE105" s="53">
        <v>3.5424000000000002</v>
      </c>
      <c r="AF105" s="53">
        <v>139.29750000000001</v>
      </c>
      <c r="AG105" s="53">
        <v>139.29750000000001</v>
      </c>
      <c r="AH105" s="31">
        <v>0.3</v>
      </c>
      <c r="AI105" s="31">
        <v>0.24</v>
      </c>
      <c r="AJ105" s="29">
        <v>0.18</v>
      </c>
      <c r="AK105" s="29">
        <v>0.15</v>
      </c>
      <c r="AL105" s="62">
        <v>50</v>
      </c>
      <c r="AM105" s="135">
        <v>7</v>
      </c>
      <c r="AN105" s="31">
        <v>0.08</v>
      </c>
      <c r="AO105" s="31">
        <v>0.8</v>
      </c>
      <c r="AP105" s="31">
        <v>0.8</v>
      </c>
      <c r="AQ105" s="31">
        <v>0.4</v>
      </c>
      <c r="AR105" s="31">
        <v>0.8</v>
      </c>
      <c r="AS105" s="130">
        <v>53.06</v>
      </c>
      <c r="AT105" s="29">
        <v>0</v>
      </c>
      <c r="AU105" s="29">
        <v>0</v>
      </c>
      <c r="AV105" s="71">
        <v>0.37141999999999997</v>
      </c>
      <c r="AW105" s="71">
        <v>0</v>
      </c>
      <c r="AX105" s="71">
        <v>0</v>
      </c>
      <c r="AY105" s="71">
        <v>0</v>
      </c>
      <c r="AZ105" s="19">
        <v>0.87</v>
      </c>
      <c r="BA105" s="65">
        <v>5.29</v>
      </c>
      <c r="BB105" s="29" t="b">
        <v>0</v>
      </c>
      <c r="BC105" s="29" t="b">
        <v>0</v>
      </c>
      <c r="BD105" s="29" t="s">
        <v>79</v>
      </c>
      <c r="BE105" s="29" t="b">
        <v>0</v>
      </c>
      <c r="BF105" s="29" t="b">
        <v>0</v>
      </c>
      <c r="BG105" s="62" t="b">
        <v>0</v>
      </c>
      <c r="BH105" s="30">
        <v>0.96799999999999997</v>
      </c>
      <c r="BI105" s="29" t="b">
        <v>0</v>
      </c>
      <c r="BJ105" s="62" t="s">
        <v>392</v>
      </c>
      <c r="BK105" s="29" t="b">
        <v>0</v>
      </c>
      <c r="BL105" s="29" t="b">
        <v>0</v>
      </c>
      <c r="BM105" s="29">
        <v>0</v>
      </c>
      <c r="BN105" s="29">
        <v>0</v>
      </c>
      <c r="BO105" s="29">
        <v>0</v>
      </c>
      <c r="BP105" s="29">
        <v>0</v>
      </c>
      <c r="BQ105" s="29" t="b">
        <v>0</v>
      </c>
      <c r="BR105" s="29">
        <v>0</v>
      </c>
      <c r="BS105" s="53">
        <v>0</v>
      </c>
      <c r="BT105" s="62" t="b">
        <v>0</v>
      </c>
      <c r="BU105" s="29" t="b">
        <v>0</v>
      </c>
      <c r="BV105" s="29" t="b">
        <v>0</v>
      </c>
      <c r="BW105" s="29" t="s">
        <v>79</v>
      </c>
      <c r="BX105" s="62" t="b">
        <v>0</v>
      </c>
      <c r="BY105" s="62" t="s">
        <v>431</v>
      </c>
    </row>
    <row r="106" spans="1:77" x14ac:dyDescent="0.2">
      <c r="A106" s="18" t="s">
        <v>797</v>
      </c>
      <c r="B106" s="133" t="s">
        <v>798</v>
      </c>
      <c r="C106" s="17" t="s">
        <v>129</v>
      </c>
      <c r="D106" s="164" t="s">
        <v>282</v>
      </c>
      <c r="E106" s="164" t="s">
        <v>612</v>
      </c>
      <c r="F106" s="63" t="s">
        <v>22</v>
      </c>
      <c r="G106" s="19" t="s">
        <v>376</v>
      </c>
      <c r="H106" s="29" t="b">
        <v>0</v>
      </c>
      <c r="I106" s="37" t="s">
        <v>79</v>
      </c>
      <c r="J106" s="17" t="s">
        <v>79</v>
      </c>
      <c r="K106" s="29" t="b">
        <v>0</v>
      </c>
      <c r="L106" s="70">
        <v>0</v>
      </c>
      <c r="M106" s="19">
        <v>300</v>
      </c>
      <c r="N106" s="29">
        <v>0</v>
      </c>
      <c r="O106" s="29">
        <v>0</v>
      </c>
      <c r="P106" s="29">
        <v>0</v>
      </c>
      <c r="Q106" s="29">
        <v>0</v>
      </c>
      <c r="R106" s="31">
        <v>0.96799999999999997</v>
      </c>
      <c r="S106" s="31">
        <v>0.45</v>
      </c>
      <c r="T106" s="72">
        <v>3.2000000000000001E-2</v>
      </c>
      <c r="U106" s="29">
        <v>0</v>
      </c>
      <c r="V106" s="29">
        <v>0</v>
      </c>
      <c r="W106" s="75">
        <v>1</v>
      </c>
      <c r="X106" s="29">
        <v>0</v>
      </c>
      <c r="Y106" s="29">
        <v>0</v>
      </c>
      <c r="Z106" s="29">
        <v>0</v>
      </c>
      <c r="AA106" s="29">
        <v>0</v>
      </c>
      <c r="AB106" s="134">
        <v>32.288699999999999</v>
      </c>
      <c r="AC106" s="134">
        <v>0.62160000000000004</v>
      </c>
      <c r="AD106" s="29" t="s">
        <v>568</v>
      </c>
      <c r="AE106" s="53">
        <v>3.5424000000000002</v>
      </c>
      <c r="AF106" s="53">
        <v>139.29750000000001</v>
      </c>
      <c r="AG106" s="53">
        <v>139.29750000000001</v>
      </c>
      <c r="AH106" s="31">
        <v>0.3</v>
      </c>
      <c r="AI106" s="31">
        <v>0.24</v>
      </c>
      <c r="AJ106" s="29">
        <v>0.18</v>
      </c>
      <c r="AK106" s="29">
        <v>0.15</v>
      </c>
      <c r="AL106" s="62">
        <v>50</v>
      </c>
      <c r="AM106" s="135">
        <v>8</v>
      </c>
      <c r="AN106" s="31">
        <v>0.08</v>
      </c>
      <c r="AO106" s="31">
        <v>0.8</v>
      </c>
      <c r="AP106" s="31">
        <v>0.8</v>
      </c>
      <c r="AQ106" s="31">
        <v>0.4</v>
      </c>
      <c r="AR106" s="31">
        <v>0.8</v>
      </c>
      <c r="AS106" s="130">
        <v>53.06</v>
      </c>
      <c r="AT106" s="29">
        <v>0</v>
      </c>
      <c r="AU106" s="29">
        <v>0</v>
      </c>
      <c r="AV106" s="71">
        <v>0.42448000000000002</v>
      </c>
      <c r="AW106" s="71">
        <v>0</v>
      </c>
      <c r="AX106" s="71">
        <v>0</v>
      </c>
      <c r="AY106" s="71">
        <v>0</v>
      </c>
      <c r="AZ106" s="19">
        <v>0.87</v>
      </c>
      <c r="BA106" s="65">
        <v>5.29</v>
      </c>
      <c r="BB106" s="29" t="b">
        <v>0</v>
      </c>
      <c r="BC106" s="29" t="b">
        <v>0</v>
      </c>
      <c r="BD106" s="29" t="s">
        <v>79</v>
      </c>
      <c r="BE106" s="29" t="b">
        <v>0</v>
      </c>
      <c r="BF106" s="29" t="b">
        <v>0</v>
      </c>
      <c r="BG106" s="62" t="b">
        <v>0</v>
      </c>
      <c r="BH106" s="30">
        <v>0.96799999999999997</v>
      </c>
      <c r="BI106" s="29" t="b">
        <v>0</v>
      </c>
      <c r="BJ106" s="62" t="s">
        <v>392</v>
      </c>
      <c r="BK106" s="29" t="b">
        <v>0</v>
      </c>
      <c r="BL106" s="29" t="b">
        <v>0</v>
      </c>
      <c r="BM106" s="29">
        <v>0</v>
      </c>
      <c r="BN106" s="29">
        <v>0</v>
      </c>
      <c r="BO106" s="29">
        <v>0</v>
      </c>
      <c r="BP106" s="29">
        <v>0</v>
      </c>
      <c r="BQ106" s="29" t="b">
        <v>0</v>
      </c>
      <c r="BR106" s="29">
        <v>0</v>
      </c>
      <c r="BS106" s="53">
        <v>0</v>
      </c>
      <c r="BT106" s="62" t="b">
        <v>0</v>
      </c>
      <c r="BU106" s="29" t="b">
        <v>0</v>
      </c>
      <c r="BV106" s="29" t="b">
        <v>0</v>
      </c>
      <c r="BW106" s="29" t="s">
        <v>79</v>
      </c>
      <c r="BX106" s="62" t="b">
        <v>0</v>
      </c>
      <c r="BY106" s="62" t="s">
        <v>431</v>
      </c>
    </row>
    <row r="107" spans="1:77" x14ac:dyDescent="0.2">
      <c r="A107" s="18" t="s">
        <v>799</v>
      </c>
      <c r="B107" s="133" t="s">
        <v>800</v>
      </c>
      <c r="C107" s="17" t="s">
        <v>129</v>
      </c>
      <c r="D107" s="164" t="s">
        <v>282</v>
      </c>
      <c r="E107" s="164" t="s">
        <v>612</v>
      </c>
      <c r="F107" s="63" t="s">
        <v>22</v>
      </c>
      <c r="G107" s="19" t="s">
        <v>376</v>
      </c>
      <c r="H107" s="29" t="b">
        <v>0</v>
      </c>
      <c r="I107" s="37" t="s">
        <v>79</v>
      </c>
      <c r="J107" s="17" t="s">
        <v>79</v>
      </c>
      <c r="K107" s="29" t="b">
        <v>0</v>
      </c>
      <c r="L107" s="70">
        <v>0</v>
      </c>
      <c r="M107" s="19">
        <v>300</v>
      </c>
      <c r="N107" s="29">
        <v>0</v>
      </c>
      <c r="O107" s="29">
        <v>0</v>
      </c>
      <c r="P107" s="29">
        <v>0</v>
      </c>
      <c r="Q107" s="29">
        <v>0</v>
      </c>
      <c r="R107" s="31">
        <v>0.96799999999999997</v>
      </c>
      <c r="S107" s="31">
        <v>0.45</v>
      </c>
      <c r="T107" s="72">
        <v>3.2000000000000001E-2</v>
      </c>
      <c r="U107" s="29">
        <v>0</v>
      </c>
      <c r="V107" s="29">
        <v>0</v>
      </c>
      <c r="W107" s="75">
        <v>1</v>
      </c>
      <c r="X107" s="29">
        <v>0</v>
      </c>
      <c r="Y107" s="29">
        <v>0</v>
      </c>
      <c r="Z107" s="29">
        <v>0</v>
      </c>
      <c r="AA107" s="29">
        <v>0</v>
      </c>
      <c r="AB107" s="134">
        <v>35.876300000000001</v>
      </c>
      <c r="AC107" s="134">
        <v>0.69069999999999998</v>
      </c>
      <c r="AD107" s="29" t="s">
        <v>568</v>
      </c>
      <c r="AE107" s="53">
        <v>3.5424000000000002</v>
      </c>
      <c r="AF107" s="53">
        <v>139.29750000000001</v>
      </c>
      <c r="AG107" s="53">
        <v>139.29750000000001</v>
      </c>
      <c r="AH107" s="31">
        <v>0.3</v>
      </c>
      <c r="AI107" s="31">
        <v>0.24</v>
      </c>
      <c r="AJ107" s="29">
        <v>0.18</v>
      </c>
      <c r="AK107" s="29">
        <v>0.15</v>
      </c>
      <c r="AL107" s="62">
        <v>50</v>
      </c>
      <c r="AM107" s="135">
        <v>9</v>
      </c>
      <c r="AN107" s="31">
        <v>0.08</v>
      </c>
      <c r="AO107" s="31">
        <v>0.8</v>
      </c>
      <c r="AP107" s="31">
        <v>0.8</v>
      </c>
      <c r="AQ107" s="31">
        <v>0.4</v>
      </c>
      <c r="AR107" s="31">
        <v>0.8</v>
      </c>
      <c r="AS107" s="130">
        <v>53.06</v>
      </c>
      <c r="AT107" s="29">
        <v>0</v>
      </c>
      <c r="AU107" s="29">
        <v>0</v>
      </c>
      <c r="AV107" s="71">
        <v>0.47754000000000002</v>
      </c>
      <c r="AW107" s="71">
        <v>0</v>
      </c>
      <c r="AX107" s="71">
        <v>0</v>
      </c>
      <c r="AY107" s="71">
        <v>0</v>
      </c>
      <c r="AZ107" s="19">
        <v>0.87</v>
      </c>
      <c r="BA107" s="65">
        <v>5.29</v>
      </c>
      <c r="BB107" s="29" t="b">
        <v>0</v>
      </c>
      <c r="BC107" s="29" t="b">
        <v>0</v>
      </c>
      <c r="BD107" s="29" t="s">
        <v>79</v>
      </c>
      <c r="BE107" s="29" t="b">
        <v>0</v>
      </c>
      <c r="BF107" s="29" t="b">
        <v>0</v>
      </c>
      <c r="BG107" s="62" t="b">
        <v>0</v>
      </c>
      <c r="BH107" s="30">
        <v>0.96799999999999997</v>
      </c>
      <c r="BI107" s="29" t="b">
        <v>0</v>
      </c>
      <c r="BJ107" s="62" t="s">
        <v>392</v>
      </c>
      <c r="BK107" s="29" t="b">
        <v>0</v>
      </c>
      <c r="BL107" s="29" t="b">
        <v>0</v>
      </c>
      <c r="BM107" s="29">
        <v>0</v>
      </c>
      <c r="BN107" s="29">
        <v>0</v>
      </c>
      <c r="BO107" s="29">
        <v>0</v>
      </c>
      <c r="BP107" s="29">
        <v>0</v>
      </c>
      <c r="BQ107" s="29" t="b">
        <v>0</v>
      </c>
      <c r="BR107" s="29">
        <v>0</v>
      </c>
      <c r="BS107" s="53">
        <v>0</v>
      </c>
      <c r="BT107" s="62" t="b">
        <v>0</v>
      </c>
      <c r="BU107" s="29" t="b">
        <v>0</v>
      </c>
      <c r="BV107" s="29" t="b">
        <v>0</v>
      </c>
      <c r="BW107" s="29" t="s">
        <v>79</v>
      </c>
      <c r="BX107" s="62" t="b">
        <v>0</v>
      </c>
      <c r="BY107" s="62" t="s">
        <v>431</v>
      </c>
    </row>
    <row r="108" spans="1:77" x14ac:dyDescent="0.2">
      <c r="A108" s="18" t="s">
        <v>801</v>
      </c>
      <c r="B108" s="133" t="s">
        <v>802</v>
      </c>
      <c r="C108" s="17" t="s">
        <v>129</v>
      </c>
      <c r="D108" s="164" t="s">
        <v>282</v>
      </c>
      <c r="E108" s="164" t="s">
        <v>612</v>
      </c>
      <c r="F108" s="63" t="s">
        <v>22</v>
      </c>
      <c r="G108" s="19" t="s">
        <v>376</v>
      </c>
      <c r="H108" s="29" t="b">
        <v>0</v>
      </c>
      <c r="I108" s="37" t="s">
        <v>79</v>
      </c>
      <c r="J108" s="17" t="s">
        <v>79</v>
      </c>
      <c r="K108" s="29" t="b">
        <v>0</v>
      </c>
      <c r="L108" s="70">
        <v>0</v>
      </c>
      <c r="M108" s="19">
        <v>300</v>
      </c>
      <c r="N108" s="29">
        <v>0</v>
      </c>
      <c r="O108" s="29">
        <v>0</v>
      </c>
      <c r="P108" s="29">
        <v>0</v>
      </c>
      <c r="Q108" s="29">
        <v>0</v>
      </c>
      <c r="R108" s="31">
        <v>0.96799999999999997</v>
      </c>
      <c r="S108" s="31">
        <v>0.45</v>
      </c>
      <c r="T108" s="72">
        <v>3.2000000000000001E-2</v>
      </c>
      <c r="U108" s="29">
        <v>0</v>
      </c>
      <c r="V108" s="29">
        <v>0</v>
      </c>
      <c r="W108" s="75">
        <v>1</v>
      </c>
      <c r="X108" s="29">
        <v>0</v>
      </c>
      <c r="Y108" s="29">
        <v>0</v>
      </c>
      <c r="Z108" s="29">
        <v>0</v>
      </c>
      <c r="AA108" s="29">
        <v>0</v>
      </c>
      <c r="AB108" s="134">
        <v>35.876300000000001</v>
      </c>
      <c r="AC108" s="134">
        <v>0.69069999999999998</v>
      </c>
      <c r="AD108" s="29" t="s">
        <v>568</v>
      </c>
      <c r="AE108" s="53">
        <v>3.5424000000000002</v>
      </c>
      <c r="AF108" s="53">
        <v>139.29750000000001</v>
      </c>
      <c r="AG108" s="53">
        <v>139.29750000000001</v>
      </c>
      <c r="AH108" s="31">
        <v>0.3</v>
      </c>
      <c r="AI108" s="31">
        <v>0.24</v>
      </c>
      <c r="AJ108" s="29">
        <v>0.18</v>
      </c>
      <c r="AK108" s="29">
        <v>0.15</v>
      </c>
      <c r="AL108" s="62">
        <v>50</v>
      </c>
      <c r="AM108" s="135">
        <v>10</v>
      </c>
      <c r="AN108" s="31">
        <v>0.08</v>
      </c>
      <c r="AO108" s="31">
        <v>0.8</v>
      </c>
      <c r="AP108" s="31">
        <v>0.8</v>
      </c>
      <c r="AQ108" s="31">
        <v>0.4</v>
      </c>
      <c r="AR108" s="31">
        <v>0.8</v>
      </c>
      <c r="AS108" s="130">
        <v>53.06</v>
      </c>
      <c r="AT108" s="29">
        <v>0</v>
      </c>
      <c r="AU108" s="29">
        <v>0</v>
      </c>
      <c r="AV108" s="71">
        <v>0.53060000000000007</v>
      </c>
      <c r="AW108" s="71">
        <v>0</v>
      </c>
      <c r="AX108" s="71">
        <v>0</v>
      </c>
      <c r="AY108" s="71">
        <v>0</v>
      </c>
      <c r="AZ108" s="19">
        <v>0.87</v>
      </c>
      <c r="BA108" s="65">
        <v>5.29</v>
      </c>
      <c r="BB108" s="29" t="b">
        <v>0</v>
      </c>
      <c r="BC108" s="29" t="b">
        <v>0</v>
      </c>
      <c r="BD108" s="29" t="s">
        <v>79</v>
      </c>
      <c r="BE108" s="29" t="b">
        <v>0</v>
      </c>
      <c r="BF108" s="29" t="b">
        <v>0</v>
      </c>
      <c r="BG108" s="62" t="b">
        <v>0</v>
      </c>
      <c r="BH108" s="30">
        <v>0.96799999999999997</v>
      </c>
      <c r="BI108" s="29" t="b">
        <v>0</v>
      </c>
      <c r="BJ108" s="62" t="s">
        <v>392</v>
      </c>
      <c r="BK108" s="29" t="b">
        <v>0</v>
      </c>
      <c r="BL108" s="29" t="b">
        <v>0</v>
      </c>
      <c r="BM108" s="29">
        <v>0</v>
      </c>
      <c r="BN108" s="29">
        <v>0</v>
      </c>
      <c r="BO108" s="29">
        <v>0</v>
      </c>
      <c r="BP108" s="29">
        <v>0</v>
      </c>
      <c r="BQ108" s="29" t="b">
        <v>0</v>
      </c>
      <c r="BR108" s="29">
        <v>0</v>
      </c>
      <c r="BS108" s="53">
        <v>0</v>
      </c>
      <c r="BT108" s="62" t="b">
        <v>0</v>
      </c>
      <c r="BU108" s="29" t="b">
        <v>0</v>
      </c>
      <c r="BV108" s="29" t="b">
        <v>0</v>
      </c>
      <c r="BW108" s="29" t="s">
        <v>79</v>
      </c>
      <c r="BX108" s="62" t="b">
        <v>0</v>
      </c>
      <c r="BY108" s="62" t="s">
        <v>431</v>
      </c>
    </row>
    <row r="109" spans="1:77" x14ac:dyDescent="0.2">
      <c r="A109" s="18" t="s">
        <v>803</v>
      </c>
      <c r="B109" s="133" t="s">
        <v>804</v>
      </c>
      <c r="C109" s="17" t="s">
        <v>129</v>
      </c>
      <c r="D109" s="164" t="s">
        <v>282</v>
      </c>
      <c r="E109" s="164" t="s">
        <v>612</v>
      </c>
      <c r="F109" s="63" t="s">
        <v>22</v>
      </c>
      <c r="G109" s="19" t="s">
        <v>376</v>
      </c>
      <c r="H109" s="29" t="b">
        <v>0</v>
      </c>
      <c r="I109" s="37" t="s">
        <v>79</v>
      </c>
      <c r="J109" s="17" t="s">
        <v>79</v>
      </c>
      <c r="K109" s="29" t="b">
        <v>0</v>
      </c>
      <c r="L109" s="70">
        <v>0</v>
      </c>
      <c r="M109" s="19">
        <v>300</v>
      </c>
      <c r="N109" s="29">
        <v>0</v>
      </c>
      <c r="O109" s="29">
        <v>0</v>
      </c>
      <c r="P109" s="29">
        <v>0</v>
      </c>
      <c r="Q109" s="29">
        <v>0</v>
      </c>
      <c r="R109" s="31">
        <v>0.96799999999999997</v>
      </c>
      <c r="S109" s="31">
        <v>0.45</v>
      </c>
      <c r="T109" s="72">
        <v>3.2000000000000001E-2</v>
      </c>
      <c r="U109" s="29">
        <v>0</v>
      </c>
      <c r="V109" s="29">
        <v>0</v>
      </c>
      <c r="W109" s="75">
        <v>1</v>
      </c>
      <c r="X109" s="29">
        <v>0</v>
      </c>
      <c r="Y109" s="29">
        <v>0</v>
      </c>
      <c r="Z109" s="29">
        <v>0</v>
      </c>
      <c r="AA109" s="29">
        <v>0</v>
      </c>
      <c r="AB109" s="134">
        <v>35.876300000000001</v>
      </c>
      <c r="AC109" s="134">
        <v>0.69069999999999998</v>
      </c>
      <c r="AD109" s="29" t="s">
        <v>568</v>
      </c>
      <c r="AE109" s="53">
        <v>3.5424000000000002</v>
      </c>
      <c r="AF109" s="53">
        <v>139.29750000000001</v>
      </c>
      <c r="AG109" s="53">
        <v>139.29750000000001</v>
      </c>
      <c r="AH109" s="31">
        <v>0.3</v>
      </c>
      <c r="AI109" s="31">
        <v>0.24</v>
      </c>
      <c r="AJ109" s="29">
        <v>0.18</v>
      </c>
      <c r="AK109" s="29">
        <v>0.15</v>
      </c>
      <c r="AL109" s="62">
        <v>50</v>
      </c>
      <c r="AM109" s="135">
        <v>11</v>
      </c>
      <c r="AN109" s="31">
        <v>0.08</v>
      </c>
      <c r="AO109" s="31">
        <v>0.8</v>
      </c>
      <c r="AP109" s="31">
        <v>0.8</v>
      </c>
      <c r="AQ109" s="31">
        <v>0.4</v>
      </c>
      <c r="AR109" s="31">
        <v>0.8</v>
      </c>
      <c r="AS109" s="130">
        <v>53.06</v>
      </c>
      <c r="AT109" s="29">
        <v>0</v>
      </c>
      <c r="AU109" s="29">
        <v>0</v>
      </c>
      <c r="AV109" s="71">
        <v>0.58366000000000007</v>
      </c>
      <c r="AW109" s="71">
        <v>0</v>
      </c>
      <c r="AX109" s="71">
        <v>0</v>
      </c>
      <c r="AY109" s="71">
        <v>0</v>
      </c>
      <c r="AZ109" s="19">
        <v>0.87</v>
      </c>
      <c r="BA109" s="65">
        <v>5.29</v>
      </c>
      <c r="BB109" s="29" t="b">
        <v>0</v>
      </c>
      <c r="BC109" s="29" t="b">
        <v>0</v>
      </c>
      <c r="BD109" s="29" t="s">
        <v>79</v>
      </c>
      <c r="BE109" s="29" t="b">
        <v>0</v>
      </c>
      <c r="BF109" s="29" t="b">
        <v>0</v>
      </c>
      <c r="BG109" s="62" t="b">
        <v>0</v>
      </c>
      <c r="BH109" s="30">
        <v>0.96799999999999997</v>
      </c>
      <c r="BI109" s="29" t="b">
        <v>0</v>
      </c>
      <c r="BJ109" s="62" t="s">
        <v>392</v>
      </c>
      <c r="BK109" s="29" t="b">
        <v>0</v>
      </c>
      <c r="BL109" s="29" t="b">
        <v>0</v>
      </c>
      <c r="BM109" s="29">
        <v>0</v>
      </c>
      <c r="BN109" s="29">
        <v>0</v>
      </c>
      <c r="BO109" s="29">
        <v>0</v>
      </c>
      <c r="BP109" s="29">
        <v>0</v>
      </c>
      <c r="BQ109" s="29" t="b">
        <v>0</v>
      </c>
      <c r="BR109" s="29">
        <v>0</v>
      </c>
      <c r="BS109" s="53">
        <v>0</v>
      </c>
      <c r="BT109" s="62" t="b">
        <v>0</v>
      </c>
      <c r="BU109" s="29" t="b">
        <v>0</v>
      </c>
      <c r="BV109" s="29" t="b">
        <v>0</v>
      </c>
      <c r="BW109" s="29" t="s">
        <v>79</v>
      </c>
      <c r="BX109" s="62" t="b">
        <v>0</v>
      </c>
      <c r="BY109" s="62" t="s">
        <v>431</v>
      </c>
    </row>
    <row r="110" spans="1:77" x14ac:dyDescent="0.2">
      <c r="A110" s="18" t="s">
        <v>805</v>
      </c>
      <c r="B110" s="133" t="s">
        <v>806</v>
      </c>
      <c r="C110" s="17" t="s">
        <v>129</v>
      </c>
      <c r="D110" s="164" t="s">
        <v>282</v>
      </c>
      <c r="E110" s="164" t="s">
        <v>612</v>
      </c>
      <c r="F110" s="63" t="s">
        <v>22</v>
      </c>
      <c r="G110" s="19" t="s">
        <v>376</v>
      </c>
      <c r="H110" s="29" t="b">
        <v>0</v>
      </c>
      <c r="I110" s="37" t="s">
        <v>79</v>
      </c>
      <c r="J110" s="17" t="s">
        <v>79</v>
      </c>
      <c r="K110" s="29" t="b">
        <v>0</v>
      </c>
      <c r="L110" s="70">
        <v>0</v>
      </c>
      <c r="M110" s="19">
        <v>300</v>
      </c>
      <c r="N110" s="29">
        <v>0</v>
      </c>
      <c r="O110" s="29">
        <v>0</v>
      </c>
      <c r="P110" s="29">
        <v>0</v>
      </c>
      <c r="Q110" s="29">
        <v>0</v>
      </c>
      <c r="R110" s="31">
        <v>0.96799999999999997</v>
      </c>
      <c r="S110" s="31">
        <v>0.45</v>
      </c>
      <c r="T110" s="72">
        <v>3.2000000000000001E-2</v>
      </c>
      <c r="U110" s="29">
        <v>0</v>
      </c>
      <c r="V110" s="29">
        <v>0</v>
      </c>
      <c r="W110" s="75">
        <v>1</v>
      </c>
      <c r="X110" s="29">
        <v>0</v>
      </c>
      <c r="Y110" s="29">
        <v>0</v>
      </c>
      <c r="Z110" s="29">
        <v>0</v>
      </c>
      <c r="AA110" s="29">
        <v>0</v>
      </c>
      <c r="AB110" s="134">
        <v>35.876300000000001</v>
      </c>
      <c r="AC110" s="134">
        <v>0.69069999999999998</v>
      </c>
      <c r="AD110" s="29" t="s">
        <v>568</v>
      </c>
      <c r="AE110" s="53">
        <v>3.5424000000000002</v>
      </c>
      <c r="AF110" s="53">
        <v>139.29750000000001</v>
      </c>
      <c r="AG110" s="53">
        <v>139.29750000000001</v>
      </c>
      <c r="AH110" s="31">
        <v>0.3</v>
      </c>
      <c r="AI110" s="31">
        <v>0.24</v>
      </c>
      <c r="AJ110" s="29">
        <v>0.18</v>
      </c>
      <c r="AK110" s="29">
        <v>0.15</v>
      </c>
      <c r="AL110" s="62">
        <v>50</v>
      </c>
      <c r="AM110" s="135">
        <v>12</v>
      </c>
      <c r="AN110" s="31">
        <v>0.08</v>
      </c>
      <c r="AO110" s="31">
        <v>0.8</v>
      </c>
      <c r="AP110" s="31">
        <v>0.8</v>
      </c>
      <c r="AQ110" s="31">
        <v>0.4</v>
      </c>
      <c r="AR110" s="31">
        <v>0.8</v>
      </c>
      <c r="AS110" s="130">
        <v>53.06</v>
      </c>
      <c r="AT110" s="29">
        <v>0</v>
      </c>
      <c r="AU110" s="29">
        <v>0</v>
      </c>
      <c r="AV110" s="71">
        <v>0.63672000000000006</v>
      </c>
      <c r="AW110" s="71">
        <v>0</v>
      </c>
      <c r="AX110" s="71">
        <v>0</v>
      </c>
      <c r="AY110" s="71">
        <v>0</v>
      </c>
      <c r="AZ110" s="19">
        <v>0.87</v>
      </c>
      <c r="BA110" s="65">
        <v>5.29</v>
      </c>
      <c r="BB110" s="29" t="b">
        <v>0</v>
      </c>
      <c r="BC110" s="29" t="b">
        <v>0</v>
      </c>
      <c r="BD110" s="29" t="s">
        <v>79</v>
      </c>
      <c r="BE110" s="29" t="b">
        <v>0</v>
      </c>
      <c r="BF110" s="29" t="b">
        <v>0</v>
      </c>
      <c r="BG110" s="62" t="b">
        <v>0</v>
      </c>
      <c r="BH110" s="30">
        <v>0.96799999999999997</v>
      </c>
      <c r="BI110" s="29" t="b">
        <v>0</v>
      </c>
      <c r="BJ110" s="62" t="s">
        <v>392</v>
      </c>
      <c r="BK110" s="29" t="b">
        <v>0</v>
      </c>
      <c r="BL110" s="29" t="b">
        <v>0</v>
      </c>
      <c r="BM110" s="29">
        <v>0</v>
      </c>
      <c r="BN110" s="29">
        <v>0</v>
      </c>
      <c r="BO110" s="29">
        <v>0</v>
      </c>
      <c r="BP110" s="29">
        <v>0</v>
      </c>
      <c r="BQ110" s="29" t="b">
        <v>0</v>
      </c>
      <c r="BR110" s="29">
        <v>0</v>
      </c>
      <c r="BS110" s="53">
        <v>0</v>
      </c>
      <c r="BT110" s="62" t="b">
        <v>0</v>
      </c>
      <c r="BU110" s="29" t="b">
        <v>0</v>
      </c>
      <c r="BV110" s="29" t="b">
        <v>0</v>
      </c>
      <c r="BW110" s="29" t="s">
        <v>79</v>
      </c>
      <c r="BX110" s="62" t="b">
        <v>0</v>
      </c>
      <c r="BY110" s="62" t="s">
        <v>431</v>
      </c>
    </row>
    <row r="111" spans="1:77" x14ac:dyDescent="0.2">
      <c r="A111" s="18" t="s">
        <v>807</v>
      </c>
      <c r="B111" s="133" t="s">
        <v>808</v>
      </c>
      <c r="C111" s="17" t="s">
        <v>129</v>
      </c>
      <c r="D111" s="164" t="s">
        <v>282</v>
      </c>
      <c r="E111" s="164" t="s">
        <v>612</v>
      </c>
      <c r="F111" s="63" t="s">
        <v>22</v>
      </c>
      <c r="G111" s="19" t="s">
        <v>376</v>
      </c>
      <c r="H111" s="29" t="b">
        <v>0</v>
      </c>
      <c r="I111" s="37" t="s">
        <v>79</v>
      </c>
      <c r="J111" s="17" t="s">
        <v>79</v>
      </c>
      <c r="K111" s="29" t="b">
        <v>0</v>
      </c>
      <c r="L111" s="70">
        <v>0</v>
      </c>
      <c r="M111" s="19">
        <v>300</v>
      </c>
      <c r="N111" s="29">
        <v>0</v>
      </c>
      <c r="O111" s="29">
        <v>0</v>
      </c>
      <c r="P111" s="29">
        <v>0</v>
      </c>
      <c r="Q111" s="29">
        <v>0</v>
      </c>
      <c r="R111" s="31">
        <v>0.96799999999999997</v>
      </c>
      <c r="S111" s="31">
        <v>0.45</v>
      </c>
      <c r="T111" s="72">
        <v>3.2000000000000001E-2</v>
      </c>
      <c r="U111" s="29">
        <v>0</v>
      </c>
      <c r="V111" s="29">
        <v>0</v>
      </c>
      <c r="W111" s="75">
        <v>1</v>
      </c>
      <c r="X111" s="29">
        <v>0</v>
      </c>
      <c r="Y111" s="29">
        <v>0</v>
      </c>
      <c r="Z111" s="29">
        <v>0</v>
      </c>
      <c r="AA111" s="29">
        <v>0</v>
      </c>
      <c r="AB111" s="134">
        <v>35.876300000000001</v>
      </c>
      <c r="AC111" s="134">
        <v>0.69069999999999998</v>
      </c>
      <c r="AD111" s="29" t="s">
        <v>568</v>
      </c>
      <c r="AE111" s="53">
        <v>3.5424000000000002</v>
      </c>
      <c r="AF111" s="53">
        <v>139.29750000000001</v>
      </c>
      <c r="AG111" s="53">
        <v>139.29750000000001</v>
      </c>
      <c r="AH111" s="31">
        <v>0.3</v>
      </c>
      <c r="AI111" s="31">
        <v>0.24</v>
      </c>
      <c r="AJ111" s="29">
        <v>0.18</v>
      </c>
      <c r="AK111" s="29">
        <v>0.15</v>
      </c>
      <c r="AL111" s="62">
        <v>50</v>
      </c>
      <c r="AM111" s="135">
        <v>13</v>
      </c>
      <c r="AN111" s="31">
        <v>0.08</v>
      </c>
      <c r="AO111" s="31">
        <v>0.8</v>
      </c>
      <c r="AP111" s="31">
        <v>0.8</v>
      </c>
      <c r="AQ111" s="31">
        <v>0.4</v>
      </c>
      <c r="AR111" s="31">
        <v>0.8</v>
      </c>
      <c r="AS111" s="130">
        <v>53.06</v>
      </c>
      <c r="AT111" s="29">
        <v>0</v>
      </c>
      <c r="AU111" s="29">
        <v>0</v>
      </c>
      <c r="AV111" s="71">
        <v>0.68977999999999995</v>
      </c>
      <c r="AW111" s="71">
        <v>0</v>
      </c>
      <c r="AX111" s="71">
        <v>0</v>
      </c>
      <c r="AY111" s="71">
        <v>0</v>
      </c>
      <c r="AZ111" s="19">
        <v>0.87</v>
      </c>
      <c r="BA111" s="65">
        <v>5.29</v>
      </c>
      <c r="BB111" s="29" t="b">
        <v>0</v>
      </c>
      <c r="BC111" s="29" t="b">
        <v>0</v>
      </c>
      <c r="BD111" s="29" t="s">
        <v>79</v>
      </c>
      <c r="BE111" s="29" t="b">
        <v>0</v>
      </c>
      <c r="BF111" s="29" t="b">
        <v>0</v>
      </c>
      <c r="BG111" s="62" t="b">
        <v>0</v>
      </c>
      <c r="BH111" s="30">
        <v>0.96799999999999997</v>
      </c>
      <c r="BI111" s="29" t="b">
        <v>0</v>
      </c>
      <c r="BJ111" s="62" t="s">
        <v>392</v>
      </c>
      <c r="BK111" s="29" t="b">
        <v>0</v>
      </c>
      <c r="BL111" s="29" t="b">
        <v>0</v>
      </c>
      <c r="BM111" s="29">
        <v>0</v>
      </c>
      <c r="BN111" s="29">
        <v>0</v>
      </c>
      <c r="BO111" s="29">
        <v>0</v>
      </c>
      <c r="BP111" s="29">
        <v>0</v>
      </c>
      <c r="BQ111" s="29" t="b">
        <v>0</v>
      </c>
      <c r="BR111" s="29">
        <v>0</v>
      </c>
      <c r="BS111" s="53">
        <v>0</v>
      </c>
      <c r="BT111" s="62" t="b">
        <v>0</v>
      </c>
      <c r="BU111" s="29" t="b">
        <v>0</v>
      </c>
      <c r="BV111" s="29" t="b">
        <v>0</v>
      </c>
      <c r="BW111" s="29" t="s">
        <v>79</v>
      </c>
      <c r="BX111" s="62" t="b">
        <v>0</v>
      </c>
      <c r="BY111" s="62" t="s">
        <v>431</v>
      </c>
    </row>
    <row r="112" spans="1:77" x14ac:dyDescent="0.2">
      <c r="A112" s="18" t="s">
        <v>809</v>
      </c>
      <c r="B112" s="133" t="s">
        <v>810</v>
      </c>
      <c r="C112" s="17" t="s">
        <v>122</v>
      </c>
      <c r="D112" s="164" t="s">
        <v>282</v>
      </c>
      <c r="E112" s="164" t="s">
        <v>124</v>
      </c>
      <c r="F112" s="63" t="s">
        <v>22</v>
      </c>
      <c r="G112" s="19" t="s">
        <v>376</v>
      </c>
      <c r="H112" s="29" t="b">
        <v>0</v>
      </c>
      <c r="I112" s="37" t="s">
        <v>79</v>
      </c>
      <c r="J112" s="17" t="s">
        <v>79</v>
      </c>
      <c r="K112" s="29" t="b">
        <v>0</v>
      </c>
      <c r="L112" s="70">
        <v>0</v>
      </c>
      <c r="M112" s="19">
        <v>300</v>
      </c>
      <c r="N112" s="29">
        <v>0</v>
      </c>
      <c r="O112" s="29">
        <v>0</v>
      </c>
      <c r="P112" s="29">
        <v>0</v>
      </c>
      <c r="Q112" s="29">
        <v>0</v>
      </c>
      <c r="R112" s="31">
        <v>0.96799999999999997</v>
      </c>
      <c r="S112" s="31">
        <v>0.45</v>
      </c>
      <c r="T112" s="72">
        <v>3.2000000000000001E-2</v>
      </c>
      <c r="U112" s="29">
        <v>0</v>
      </c>
      <c r="V112" s="29">
        <v>0</v>
      </c>
      <c r="W112" s="75">
        <v>1</v>
      </c>
      <c r="X112" s="29">
        <v>0</v>
      </c>
      <c r="Y112" s="29">
        <v>0</v>
      </c>
      <c r="Z112" s="29">
        <v>0</v>
      </c>
      <c r="AA112" s="29">
        <v>0</v>
      </c>
      <c r="AB112" s="134">
        <v>17.7087</v>
      </c>
      <c r="AC112" s="134">
        <v>2.0051000000000001</v>
      </c>
      <c r="AD112" s="29" t="s">
        <v>568</v>
      </c>
      <c r="AE112" s="53">
        <v>3.5424000000000002</v>
      </c>
      <c r="AF112" s="53">
        <v>139.29750000000001</v>
      </c>
      <c r="AG112" s="53">
        <v>139.29750000000001</v>
      </c>
      <c r="AH112" s="31">
        <v>0.3</v>
      </c>
      <c r="AI112" s="31">
        <v>0.24</v>
      </c>
      <c r="AJ112" s="29">
        <v>0.18</v>
      </c>
      <c r="AK112" s="29">
        <v>0.15</v>
      </c>
      <c r="AL112" s="62">
        <v>50</v>
      </c>
      <c r="AM112" s="135">
        <v>9</v>
      </c>
      <c r="AN112" s="31">
        <v>0.08</v>
      </c>
      <c r="AO112" s="31">
        <v>0.8</v>
      </c>
      <c r="AP112" s="31">
        <v>0.8</v>
      </c>
      <c r="AQ112" s="31">
        <v>0.4</v>
      </c>
      <c r="AR112" s="31">
        <v>0.8</v>
      </c>
      <c r="AS112" s="130">
        <v>53.06</v>
      </c>
      <c r="AT112" s="29">
        <v>0</v>
      </c>
      <c r="AU112" s="29">
        <v>0</v>
      </c>
      <c r="AV112" s="71">
        <v>0.47754000000000002</v>
      </c>
      <c r="AW112" s="71">
        <v>0</v>
      </c>
      <c r="AX112" s="71">
        <v>0</v>
      </c>
      <c r="AY112" s="71">
        <v>0</v>
      </c>
      <c r="AZ112" s="19">
        <v>0.87</v>
      </c>
      <c r="BA112" s="65">
        <v>5.29</v>
      </c>
      <c r="BB112" s="29" t="b">
        <v>0</v>
      </c>
      <c r="BC112" s="29" t="b">
        <v>0</v>
      </c>
      <c r="BD112" s="29" t="s">
        <v>79</v>
      </c>
      <c r="BE112" s="29" t="b">
        <v>0</v>
      </c>
      <c r="BF112" s="29" t="b">
        <v>0</v>
      </c>
      <c r="BG112" s="62" t="b">
        <v>0</v>
      </c>
      <c r="BH112" s="30">
        <v>0.96799999999999997</v>
      </c>
      <c r="BI112" s="29" t="b">
        <v>0</v>
      </c>
      <c r="BJ112" s="62" t="s">
        <v>392</v>
      </c>
      <c r="BK112" s="29" t="b">
        <v>0</v>
      </c>
      <c r="BL112" s="29" t="b">
        <v>0</v>
      </c>
      <c r="BM112" s="29">
        <v>0</v>
      </c>
      <c r="BN112" s="29">
        <v>0</v>
      </c>
      <c r="BO112" s="29">
        <v>0</v>
      </c>
      <c r="BP112" s="29">
        <v>0</v>
      </c>
      <c r="BQ112" s="29" t="b">
        <v>0</v>
      </c>
      <c r="BR112" s="29">
        <v>0</v>
      </c>
      <c r="BS112" s="53">
        <v>0</v>
      </c>
      <c r="BT112" s="62" t="b">
        <v>0</v>
      </c>
      <c r="BU112" s="29" t="b">
        <v>0</v>
      </c>
      <c r="BV112" s="29" t="b">
        <v>0</v>
      </c>
      <c r="BW112" s="29" t="s">
        <v>79</v>
      </c>
      <c r="BX112" s="62" t="b">
        <v>0</v>
      </c>
      <c r="BY112" s="62" t="s">
        <v>431</v>
      </c>
    </row>
    <row r="113" spans="1:77" x14ac:dyDescent="0.2">
      <c r="A113" s="18" t="s">
        <v>811</v>
      </c>
      <c r="B113" s="133" t="s">
        <v>812</v>
      </c>
      <c r="C113" s="17" t="s">
        <v>122</v>
      </c>
      <c r="D113" s="164" t="s">
        <v>282</v>
      </c>
      <c r="E113" s="164" t="s">
        <v>124</v>
      </c>
      <c r="F113" s="63" t="s">
        <v>22</v>
      </c>
      <c r="G113" s="19" t="s">
        <v>376</v>
      </c>
      <c r="H113" s="29" t="b">
        <v>0</v>
      </c>
      <c r="I113" s="37" t="s">
        <v>79</v>
      </c>
      <c r="J113" s="17" t="s">
        <v>79</v>
      </c>
      <c r="K113" s="29" t="b">
        <v>0</v>
      </c>
      <c r="L113" s="70">
        <v>0</v>
      </c>
      <c r="M113" s="19">
        <v>300</v>
      </c>
      <c r="N113" s="29">
        <v>0</v>
      </c>
      <c r="O113" s="29">
        <v>0</v>
      </c>
      <c r="P113" s="29">
        <v>0</v>
      </c>
      <c r="Q113" s="29">
        <v>0</v>
      </c>
      <c r="R113" s="31">
        <v>0.96799999999999997</v>
      </c>
      <c r="S113" s="31">
        <v>0.45</v>
      </c>
      <c r="T113" s="72">
        <v>3.2000000000000001E-2</v>
      </c>
      <c r="U113" s="29">
        <v>0</v>
      </c>
      <c r="V113" s="29">
        <v>0</v>
      </c>
      <c r="W113" s="75">
        <v>1</v>
      </c>
      <c r="X113" s="29">
        <v>0</v>
      </c>
      <c r="Y113" s="29">
        <v>0</v>
      </c>
      <c r="Z113" s="29">
        <v>0</v>
      </c>
      <c r="AA113" s="29">
        <v>0</v>
      </c>
      <c r="AB113" s="134">
        <v>25.294499999999999</v>
      </c>
      <c r="AC113" s="134">
        <v>3.2707999999999999</v>
      </c>
      <c r="AD113" s="29" t="s">
        <v>568</v>
      </c>
      <c r="AE113" s="53">
        <v>3.5424000000000002</v>
      </c>
      <c r="AF113" s="53">
        <v>139.29750000000001</v>
      </c>
      <c r="AG113" s="53">
        <v>139.29750000000001</v>
      </c>
      <c r="AH113" s="31">
        <v>0.3</v>
      </c>
      <c r="AI113" s="31">
        <v>0.24</v>
      </c>
      <c r="AJ113" s="29">
        <v>0.18</v>
      </c>
      <c r="AK113" s="29">
        <v>0.15</v>
      </c>
      <c r="AL113" s="62">
        <v>50</v>
      </c>
      <c r="AM113" s="135">
        <v>10</v>
      </c>
      <c r="AN113" s="31">
        <v>0.08</v>
      </c>
      <c r="AO113" s="31">
        <v>0.8</v>
      </c>
      <c r="AP113" s="31">
        <v>0.8</v>
      </c>
      <c r="AQ113" s="31">
        <v>0.4</v>
      </c>
      <c r="AR113" s="31">
        <v>0.8</v>
      </c>
      <c r="AS113" s="130">
        <v>53.06</v>
      </c>
      <c r="AT113" s="29">
        <v>0</v>
      </c>
      <c r="AU113" s="29">
        <v>0</v>
      </c>
      <c r="AV113" s="71">
        <v>0.53060000000000007</v>
      </c>
      <c r="AW113" s="71">
        <v>0</v>
      </c>
      <c r="AX113" s="71">
        <v>0</v>
      </c>
      <c r="AY113" s="71">
        <v>0</v>
      </c>
      <c r="AZ113" s="19">
        <v>0.87</v>
      </c>
      <c r="BA113" s="65">
        <v>5.29</v>
      </c>
      <c r="BB113" s="29" t="b">
        <v>0</v>
      </c>
      <c r="BC113" s="29" t="b">
        <v>0</v>
      </c>
      <c r="BD113" s="29" t="s">
        <v>79</v>
      </c>
      <c r="BE113" s="29" t="b">
        <v>0</v>
      </c>
      <c r="BF113" s="29" t="b">
        <v>0</v>
      </c>
      <c r="BG113" s="62" t="b">
        <v>0</v>
      </c>
      <c r="BH113" s="30">
        <v>0.96799999999999997</v>
      </c>
      <c r="BI113" s="29" t="b">
        <v>0</v>
      </c>
      <c r="BJ113" s="62" t="s">
        <v>392</v>
      </c>
      <c r="BK113" s="29" t="b">
        <v>0</v>
      </c>
      <c r="BL113" s="29" t="b">
        <v>0</v>
      </c>
      <c r="BM113" s="29">
        <v>0</v>
      </c>
      <c r="BN113" s="29">
        <v>0</v>
      </c>
      <c r="BO113" s="29">
        <v>0</v>
      </c>
      <c r="BP113" s="29">
        <v>0</v>
      </c>
      <c r="BQ113" s="29" t="b">
        <v>0</v>
      </c>
      <c r="BR113" s="29">
        <v>0</v>
      </c>
      <c r="BS113" s="53">
        <v>0</v>
      </c>
      <c r="BT113" s="62" t="b">
        <v>0</v>
      </c>
      <c r="BU113" s="29" t="b">
        <v>0</v>
      </c>
      <c r="BV113" s="29" t="b">
        <v>0</v>
      </c>
      <c r="BW113" s="29" t="s">
        <v>79</v>
      </c>
      <c r="BX113" s="62" t="b">
        <v>0</v>
      </c>
      <c r="BY113" s="62" t="s">
        <v>431</v>
      </c>
    </row>
    <row r="114" spans="1:77" x14ac:dyDescent="0.2">
      <c r="A114" s="18" t="s">
        <v>813</v>
      </c>
      <c r="B114" s="133" t="s">
        <v>814</v>
      </c>
      <c r="C114" s="17" t="s">
        <v>122</v>
      </c>
      <c r="D114" s="164" t="s">
        <v>282</v>
      </c>
      <c r="E114" s="164" t="s">
        <v>124</v>
      </c>
      <c r="F114" s="63" t="s">
        <v>22</v>
      </c>
      <c r="G114" s="19" t="s">
        <v>376</v>
      </c>
      <c r="H114" s="29" t="b">
        <v>0</v>
      </c>
      <c r="I114" s="37" t="s">
        <v>79</v>
      </c>
      <c r="J114" s="17" t="s">
        <v>79</v>
      </c>
      <c r="K114" s="29" t="b">
        <v>0</v>
      </c>
      <c r="L114" s="70">
        <v>0</v>
      </c>
      <c r="M114" s="19">
        <v>300</v>
      </c>
      <c r="N114" s="29">
        <v>0</v>
      </c>
      <c r="O114" s="29">
        <v>0</v>
      </c>
      <c r="P114" s="29">
        <v>0</v>
      </c>
      <c r="Q114" s="29">
        <v>0</v>
      </c>
      <c r="R114" s="31">
        <v>0.96799999999999997</v>
      </c>
      <c r="S114" s="31">
        <v>0.45</v>
      </c>
      <c r="T114" s="72">
        <v>3.2000000000000001E-2</v>
      </c>
      <c r="U114" s="29">
        <v>0</v>
      </c>
      <c r="V114" s="29">
        <v>0</v>
      </c>
      <c r="W114" s="75">
        <v>1</v>
      </c>
      <c r="X114" s="29">
        <v>0</v>
      </c>
      <c r="Y114" s="29">
        <v>0</v>
      </c>
      <c r="Z114" s="29">
        <v>0</v>
      </c>
      <c r="AA114" s="29">
        <v>0</v>
      </c>
      <c r="AB114" s="134">
        <v>24.719000000000001</v>
      </c>
      <c r="AC114" s="134">
        <v>3.0545</v>
      </c>
      <c r="AD114" s="29" t="s">
        <v>568</v>
      </c>
      <c r="AE114" s="53">
        <v>3.5424000000000002</v>
      </c>
      <c r="AF114" s="53">
        <v>139.29750000000001</v>
      </c>
      <c r="AG114" s="53">
        <v>139.29750000000001</v>
      </c>
      <c r="AH114" s="31">
        <v>0.3</v>
      </c>
      <c r="AI114" s="31">
        <v>0.24</v>
      </c>
      <c r="AJ114" s="29">
        <v>0.18</v>
      </c>
      <c r="AK114" s="29">
        <v>0.15</v>
      </c>
      <c r="AL114" s="62">
        <v>50</v>
      </c>
      <c r="AM114" s="135">
        <v>11</v>
      </c>
      <c r="AN114" s="31">
        <v>0.08</v>
      </c>
      <c r="AO114" s="31">
        <v>0.8</v>
      </c>
      <c r="AP114" s="31">
        <v>0.8</v>
      </c>
      <c r="AQ114" s="31">
        <v>0.4</v>
      </c>
      <c r="AR114" s="31">
        <v>0.8</v>
      </c>
      <c r="AS114" s="130">
        <v>53.06</v>
      </c>
      <c r="AT114" s="29">
        <v>0</v>
      </c>
      <c r="AU114" s="29">
        <v>0</v>
      </c>
      <c r="AV114" s="71">
        <v>0.58366000000000007</v>
      </c>
      <c r="AW114" s="71">
        <v>0</v>
      </c>
      <c r="AX114" s="71">
        <v>0</v>
      </c>
      <c r="AY114" s="71">
        <v>0</v>
      </c>
      <c r="AZ114" s="19">
        <v>0.87</v>
      </c>
      <c r="BA114" s="65">
        <v>5.29</v>
      </c>
      <c r="BB114" s="29" t="b">
        <v>0</v>
      </c>
      <c r="BC114" s="29" t="b">
        <v>0</v>
      </c>
      <c r="BD114" s="29" t="s">
        <v>79</v>
      </c>
      <c r="BE114" s="29" t="b">
        <v>0</v>
      </c>
      <c r="BF114" s="29" t="b">
        <v>0</v>
      </c>
      <c r="BG114" s="62" t="b">
        <v>0</v>
      </c>
      <c r="BH114" s="30">
        <v>0.96799999999999997</v>
      </c>
      <c r="BI114" s="29" t="b">
        <v>0</v>
      </c>
      <c r="BJ114" s="62" t="s">
        <v>392</v>
      </c>
      <c r="BK114" s="29" t="b">
        <v>0</v>
      </c>
      <c r="BL114" s="29" t="b">
        <v>0</v>
      </c>
      <c r="BM114" s="29">
        <v>0</v>
      </c>
      <c r="BN114" s="29">
        <v>0</v>
      </c>
      <c r="BO114" s="29">
        <v>0</v>
      </c>
      <c r="BP114" s="29">
        <v>0</v>
      </c>
      <c r="BQ114" s="29" t="b">
        <v>0</v>
      </c>
      <c r="BR114" s="29">
        <v>0</v>
      </c>
      <c r="BS114" s="53">
        <v>0</v>
      </c>
      <c r="BT114" s="62" t="b">
        <v>0</v>
      </c>
      <c r="BU114" s="29" t="b">
        <v>0</v>
      </c>
      <c r="BV114" s="29" t="b">
        <v>0</v>
      </c>
      <c r="BW114" s="29" t="s">
        <v>79</v>
      </c>
      <c r="BX114" s="62" t="b">
        <v>0</v>
      </c>
      <c r="BY114" s="62" t="s">
        <v>431</v>
      </c>
    </row>
    <row r="115" spans="1:77" x14ac:dyDescent="0.2">
      <c r="A115" s="18" t="s">
        <v>815</v>
      </c>
      <c r="B115" s="133" t="s">
        <v>816</v>
      </c>
      <c r="C115" s="17" t="s">
        <v>122</v>
      </c>
      <c r="D115" s="164" t="s">
        <v>282</v>
      </c>
      <c r="E115" s="164" t="s">
        <v>124</v>
      </c>
      <c r="F115" s="63" t="s">
        <v>22</v>
      </c>
      <c r="G115" s="19" t="s">
        <v>376</v>
      </c>
      <c r="H115" s="29" t="b">
        <v>0</v>
      </c>
      <c r="I115" s="37" t="s">
        <v>79</v>
      </c>
      <c r="J115" s="17" t="s">
        <v>79</v>
      </c>
      <c r="K115" s="29" t="b">
        <v>0</v>
      </c>
      <c r="L115" s="70">
        <v>0</v>
      </c>
      <c r="M115" s="19">
        <v>300</v>
      </c>
      <c r="N115" s="29">
        <v>0</v>
      </c>
      <c r="O115" s="29">
        <v>0</v>
      </c>
      <c r="P115" s="29">
        <v>0</v>
      </c>
      <c r="Q115" s="29">
        <v>0</v>
      </c>
      <c r="R115" s="31">
        <v>0.96799999999999997</v>
      </c>
      <c r="S115" s="31">
        <v>0.45</v>
      </c>
      <c r="T115" s="72">
        <v>3.2000000000000001E-2</v>
      </c>
      <c r="U115" s="29">
        <v>0</v>
      </c>
      <c r="V115" s="29">
        <v>0</v>
      </c>
      <c r="W115" s="75">
        <v>1</v>
      </c>
      <c r="X115" s="29">
        <v>0</v>
      </c>
      <c r="Y115" s="29">
        <v>0</v>
      </c>
      <c r="Z115" s="29">
        <v>0</v>
      </c>
      <c r="AA115" s="29">
        <v>0</v>
      </c>
      <c r="AB115" s="134">
        <v>21.6477</v>
      </c>
      <c r="AC115" s="134">
        <v>2.3527999999999998</v>
      </c>
      <c r="AD115" s="29" t="s">
        <v>568</v>
      </c>
      <c r="AE115" s="53">
        <v>3.5424000000000002</v>
      </c>
      <c r="AF115" s="53">
        <v>139.29750000000001</v>
      </c>
      <c r="AG115" s="53">
        <v>139.29750000000001</v>
      </c>
      <c r="AH115" s="31">
        <v>0.3</v>
      </c>
      <c r="AI115" s="31">
        <v>0.24</v>
      </c>
      <c r="AJ115" s="29">
        <v>0.18</v>
      </c>
      <c r="AK115" s="29">
        <v>0.15</v>
      </c>
      <c r="AL115" s="62">
        <v>50</v>
      </c>
      <c r="AM115" s="135">
        <v>12</v>
      </c>
      <c r="AN115" s="31">
        <v>0.08</v>
      </c>
      <c r="AO115" s="31">
        <v>0.8</v>
      </c>
      <c r="AP115" s="31">
        <v>0.8</v>
      </c>
      <c r="AQ115" s="31">
        <v>0.4</v>
      </c>
      <c r="AR115" s="31">
        <v>0.8</v>
      </c>
      <c r="AS115" s="130">
        <v>53.06</v>
      </c>
      <c r="AT115" s="29">
        <v>0</v>
      </c>
      <c r="AU115" s="29">
        <v>0</v>
      </c>
      <c r="AV115" s="71">
        <v>0.63672000000000006</v>
      </c>
      <c r="AW115" s="71">
        <v>0</v>
      </c>
      <c r="AX115" s="71">
        <v>0</v>
      </c>
      <c r="AY115" s="71">
        <v>0</v>
      </c>
      <c r="AZ115" s="19">
        <v>0.87</v>
      </c>
      <c r="BA115" s="65">
        <v>5.29</v>
      </c>
      <c r="BB115" s="29" t="b">
        <v>0</v>
      </c>
      <c r="BC115" s="29" t="b">
        <v>0</v>
      </c>
      <c r="BD115" s="29" t="s">
        <v>79</v>
      </c>
      <c r="BE115" s="29" t="b">
        <v>0</v>
      </c>
      <c r="BF115" s="29" t="b">
        <v>0</v>
      </c>
      <c r="BG115" s="62" t="b">
        <v>0</v>
      </c>
      <c r="BH115" s="30">
        <v>0.96799999999999997</v>
      </c>
      <c r="BI115" s="29" t="b">
        <v>0</v>
      </c>
      <c r="BJ115" s="62" t="s">
        <v>392</v>
      </c>
      <c r="BK115" s="29" t="b">
        <v>0</v>
      </c>
      <c r="BL115" s="29" t="b">
        <v>0</v>
      </c>
      <c r="BM115" s="29">
        <v>0</v>
      </c>
      <c r="BN115" s="29">
        <v>0</v>
      </c>
      <c r="BO115" s="29">
        <v>0</v>
      </c>
      <c r="BP115" s="29">
        <v>0</v>
      </c>
      <c r="BQ115" s="29" t="b">
        <v>0</v>
      </c>
      <c r="BR115" s="29">
        <v>0</v>
      </c>
      <c r="BS115" s="53">
        <v>0</v>
      </c>
      <c r="BT115" s="62" t="b">
        <v>0</v>
      </c>
      <c r="BU115" s="29" t="b">
        <v>0</v>
      </c>
      <c r="BV115" s="29" t="b">
        <v>0</v>
      </c>
      <c r="BW115" s="29" t="s">
        <v>79</v>
      </c>
      <c r="BX115" s="62" t="b">
        <v>0</v>
      </c>
      <c r="BY115" s="62" t="s">
        <v>431</v>
      </c>
    </row>
    <row r="116" spans="1:77" x14ac:dyDescent="0.2">
      <c r="A116" s="18" t="s">
        <v>817</v>
      </c>
      <c r="B116" s="133" t="s">
        <v>818</v>
      </c>
      <c r="C116" s="17" t="s">
        <v>122</v>
      </c>
      <c r="D116" s="164" t="s">
        <v>282</v>
      </c>
      <c r="E116" s="164" t="s">
        <v>124</v>
      </c>
      <c r="F116" s="63" t="s">
        <v>22</v>
      </c>
      <c r="G116" s="19" t="s">
        <v>376</v>
      </c>
      <c r="H116" s="29" t="b">
        <v>0</v>
      </c>
      <c r="I116" s="37" t="s">
        <v>79</v>
      </c>
      <c r="J116" s="17" t="s">
        <v>79</v>
      </c>
      <c r="K116" s="29" t="b">
        <v>0</v>
      </c>
      <c r="L116" s="70">
        <v>0</v>
      </c>
      <c r="M116" s="19">
        <v>300</v>
      </c>
      <c r="N116" s="29">
        <v>0</v>
      </c>
      <c r="O116" s="29">
        <v>0</v>
      </c>
      <c r="P116" s="29">
        <v>0</v>
      </c>
      <c r="Q116" s="29">
        <v>0</v>
      </c>
      <c r="R116" s="31">
        <v>0.96799999999999997</v>
      </c>
      <c r="S116" s="31">
        <v>0.45</v>
      </c>
      <c r="T116" s="72">
        <v>3.2000000000000001E-2</v>
      </c>
      <c r="U116" s="29">
        <v>0</v>
      </c>
      <c r="V116" s="29">
        <v>0</v>
      </c>
      <c r="W116" s="75">
        <v>1</v>
      </c>
      <c r="X116" s="29">
        <v>0</v>
      </c>
      <c r="Y116" s="29">
        <v>0</v>
      </c>
      <c r="Z116" s="29">
        <v>0</v>
      </c>
      <c r="AA116" s="29">
        <v>0</v>
      </c>
      <c r="AB116" s="134">
        <v>20.886199999999999</v>
      </c>
      <c r="AC116" s="134">
        <v>2.9445999999999999</v>
      </c>
      <c r="AD116" s="29" t="s">
        <v>568</v>
      </c>
      <c r="AE116" s="53">
        <v>3.5424000000000002</v>
      </c>
      <c r="AF116" s="53">
        <v>139.29750000000001</v>
      </c>
      <c r="AG116" s="53">
        <v>139.29750000000001</v>
      </c>
      <c r="AH116" s="31">
        <v>0.3</v>
      </c>
      <c r="AI116" s="31">
        <v>0.24</v>
      </c>
      <c r="AJ116" s="29">
        <v>0.18</v>
      </c>
      <c r="AK116" s="29">
        <v>0.15</v>
      </c>
      <c r="AL116" s="62">
        <v>50</v>
      </c>
      <c r="AM116" s="135">
        <v>13</v>
      </c>
      <c r="AN116" s="31">
        <v>0.08</v>
      </c>
      <c r="AO116" s="31">
        <v>0.8</v>
      </c>
      <c r="AP116" s="31">
        <v>0.8</v>
      </c>
      <c r="AQ116" s="31">
        <v>0.4</v>
      </c>
      <c r="AR116" s="31">
        <v>0.8</v>
      </c>
      <c r="AS116" s="130">
        <v>53.06</v>
      </c>
      <c r="AT116" s="29">
        <v>0</v>
      </c>
      <c r="AU116" s="29">
        <v>0</v>
      </c>
      <c r="AV116" s="71">
        <v>0.68977999999999995</v>
      </c>
      <c r="AW116" s="71">
        <v>0</v>
      </c>
      <c r="AX116" s="71">
        <v>0</v>
      </c>
      <c r="AY116" s="71">
        <v>0</v>
      </c>
      <c r="AZ116" s="19">
        <v>0.87</v>
      </c>
      <c r="BA116" s="65">
        <v>5.29</v>
      </c>
      <c r="BB116" s="29" t="b">
        <v>0</v>
      </c>
      <c r="BC116" s="29" t="b">
        <v>0</v>
      </c>
      <c r="BD116" s="29" t="s">
        <v>79</v>
      </c>
      <c r="BE116" s="29" t="b">
        <v>0</v>
      </c>
      <c r="BF116" s="29" t="b">
        <v>0</v>
      </c>
      <c r="BG116" s="62" t="b">
        <v>0</v>
      </c>
      <c r="BH116" s="30">
        <v>0.96799999999999997</v>
      </c>
      <c r="BI116" s="29" t="b">
        <v>0</v>
      </c>
      <c r="BJ116" s="62" t="s">
        <v>392</v>
      </c>
      <c r="BK116" s="29" t="b">
        <v>0</v>
      </c>
      <c r="BL116" s="29" t="b">
        <v>0</v>
      </c>
      <c r="BM116" s="29">
        <v>0</v>
      </c>
      <c r="BN116" s="29">
        <v>0</v>
      </c>
      <c r="BO116" s="29">
        <v>0</v>
      </c>
      <c r="BP116" s="29">
        <v>0</v>
      </c>
      <c r="BQ116" s="29" t="b">
        <v>0</v>
      </c>
      <c r="BR116" s="29">
        <v>0</v>
      </c>
      <c r="BS116" s="53">
        <v>0</v>
      </c>
      <c r="BT116" s="62" t="b">
        <v>0</v>
      </c>
      <c r="BU116" s="29" t="b">
        <v>0</v>
      </c>
      <c r="BV116" s="29" t="b">
        <v>0</v>
      </c>
      <c r="BW116" s="29" t="s">
        <v>79</v>
      </c>
      <c r="BX116" s="62" t="b">
        <v>0</v>
      </c>
      <c r="BY116" s="62" t="s">
        <v>431</v>
      </c>
    </row>
    <row r="117" spans="1:77" x14ac:dyDescent="0.2">
      <c r="A117" s="18" t="s">
        <v>819</v>
      </c>
      <c r="B117" s="133" t="s">
        <v>820</v>
      </c>
      <c r="C117" s="17" t="s">
        <v>122</v>
      </c>
      <c r="D117" s="164" t="s">
        <v>282</v>
      </c>
      <c r="E117" s="164" t="s">
        <v>124</v>
      </c>
      <c r="F117" s="63" t="s">
        <v>22</v>
      </c>
      <c r="G117" s="19" t="s">
        <v>376</v>
      </c>
      <c r="H117" s="29" t="b">
        <v>0</v>
      </c>
      <c r="I117" s="37" t="s">
        <v>79</v>
      </c>
      <c r="J117" s="17" t="s">
        <v>79</v>
      </c>
      <c r="K117" s="29" t="b">
        <v>0</v>
      </c>
      <c r="L117" s="70">
        <v>0</v>
      </c>
      <c r="M117" s="19">
        <v>300</v>
      </c>
      <c r="N117" s="29">
        <v>0</v>
      </c>
      <c r="O117" s="29">
        <v>0</v>
      </c>
      <c r="P117" s="29">
        <v>0</v>
      </c>
      <c r="Q117" s="29">
        <v>0</v>
      </c>
      <c r="R117" s="31">
        <v>0.96799999999999997</v>
      </c>
      <c r="S117" s="31">
        <v>0.45</v>
      </c>
      <c r="T117" s="72">
        <v>3.2000000000000001E-2</v>
      </c>
      <c r="U117" s="29">
        <v>0</v>
      </c>
      <c r="V117" s="29">
        <v>0</v>
      </c>
      <c r="W117" s="75">
        <v>1</v>
      </c>
      <c r="X117" s="29">
        <v>0</v>
      </c>
      <c r="Y117" s="29">
        <v>0</v>
      </c>
      <c r="Z117" s="29">
        <v>0</v>
      </c>
      <c r="AA117" s="29">
        <v>0</v>
      </c>
      <c r="AB117" s="134">
        <v>25.894600000000001</v>
      </c>
      <c r="AC117" s="134">
        <v>4.8987999999999996</v>
      </c>
      <c r="AD117" s="29" t="s">
        <v>568</v>
      </c>
      <c r="AE117" s="53">
        <v>3.5424000000000002</v>
      </c>
      <c r="AF117" s="53">
        <v>139.29750000000001</v>
      </c>
      <c r="AG117" s="53">
        <v>139.29750000000001</v>
      </c>
      <c r="AH117" s="31">
        <v>0.3</v>
      </c>
      <c r="AI117" s="31">
        <v>0.24</v>
      </c>
      <c r="AJ117" s="29">
        <v>0.18</v>
      </c>
      <c r="AK117" s="29">
        <v>0.15</v>
      </c>
      <c r="AL117" s="62">
        <v>50</v>
      </c>
      <c r="AM117" s="135">
        <v>14</v>
      </c>
      <c r="AN117" s="31">
        <v>0.08</v>
      </c>
      <c r="AO117" s="31">
        <v>0.8</v>
      </c>
      <c r="AP117" s="31">
        <v>0.8</v>
      </c>
      <c r="AQ117" s="31">
        <v>0.4</v>
      </c>
      <c r="AR117" s="31">
        <v>0.8</v>
      </c>
      <c r="AS117" s="130">
        <v>53.06</v>
      </c>
      <c r="AT117" s="29">
        <v>0</v>
      </c>
      <c r="AU117" s="29">
        <v>0</v>
      </c>
      <c r="AV117" s="71">
        <v>0.74284000000000006</v>
      </c>
      <c r="AW117" s="71">
        <v>0</v>
      </c>
      <c r="AX117" s="71">
        <v>0</v>
      </c>
      <c r="AY117" s="71">
        <v>0</v>
      </c>
      <c r="AZ117" s="19">
        <v>0.87</v>
      </c>
      <c r="BA117" s="65">
        <v>5.29</v>
      </c>
      <c r="BB117" s="29" t="b">
        <v>0</v>
      </c>
      <c r="BC117" s="29" t="b">
        <v>0</v>
      </c>
      <c r="BD117" s="29" t="s">
        <v>79</v>
      </c>
      <c r="BE117" s="29" t="b">
        <v>0</v>
      </c>
      <c r="BF117" s="29" t="b">
        <v>0</v>
      </c>
      <c r="BG117" s="62" t="b">
        <v>0</v>
      </c>
      <c r="BH117" s="30">
        <v>0.96799999999999997</v>
      </c>
      <c r="BI117" s="29" t="b">
        <v>0</v>
      </c>
      <c r="BJ117" s="62" t="s">
        <v>392</v>
      </c>
      <c r="BK117" s="29" t="b">
        <v>0</v>
      </c>
      <c r="BL117" s="29" t="b">
        <v>0</v>
      </c>
      <c r="BM117" s="29">
        <v>0</v>
      </c>
      <c r="BN117" s="29">
        <v>0</v>
      </c>
      <c r="BO117" s="29">
        <v>0</v>
      </c>
      <c r="BP117" s="29">
        <v>0</v>
      </c>
      <c r="BQ117" s="29" t="b">
        <v>0</v>
      </c>
      <c r="BR117" s="29">
        <v>0</v>
      </c>
      <c r="BS117" s="53">
        <v>0</v>
      </c>
      <c r="BT117" s="62" t="b">
        <v>0</v>
      </c>
      <c r="BU117" s="29" t="b">
        <v>0</v>
      </c>
      <c r="BV117" s="29" t="b">
        <v>0</v>
      </c>
      <c r="BW117" s="29" t="s">
        <v>79</v>
      </c>
      <c r="BX117" s="62" t="b">
        <v>0</v>
      </c>
      <c r="BY117" s="62" t="s">
        <v>431</v>
      </c>
    </row>
    <row r="118" spans="1:77" x14ac:dyDescent="0.2">
      <c r="A118" s="18" t="s">
        <v>821</v>
      </c>
      <c r="B118" s="133" t="s">
        <v>822</v>
      </c>
      <c r="C118" s="17" t="s">
        <v>122</v>
      </c>
      <c r="D118" s="164" t="s">
        <v>282</v>
      </c>
      <c r="E118" s="164" t="s">
        <v>124</v>
      </c>
      <c r="F118" s="63" t="s">
        <v>22</v>
      </c>
      <c r="G118" s="19" t="s">
        <v>376</v>
      </c>
      <c r="H118" s="29" t="b">
        <v>0</v>
      </c>
      <c r="I118" s="37" t="s">
        <v>79</v>
      </c>
      <c r="J118" s="17" t="s">
        <v>79</v>
      </c>
      <c r="K118" s="29" t="b">
        <v>0</v>
      </c>
      <c r="L118" s="70">
        <v>0</v>
      </c>
      <c r="M118" s="19">
        <v>300</v>
      </c>
      <c r="N118" s="29">
        <v>0</v>
      </c>
      <c r="O118" s="29">
        <v>0</v>
      </c>
      <c r="P118" s="29">
        <v>0</v>
      </c>
      <c r="Q118" s="29">
        <v>0</v>
      </c>
      <c r="R118" s="31">
        <v>0.96799999999999997</v>
      </c>
      <c r="S118" s="31">
        <v>0.45</v>
      </c>
      <c r="T118" s="72">
        <v>3.2000000000000001E-2</v>
      </c>
      <c r="U118" s="29">
        <v>0</v>
      </c>
      <c r="V118" s="29">
        <v>0</v>
      </c>
      <c r="W118" s="75">
        <v>1</v>
      </c>
      <c r="X118" s="29">
        <v>0</v>
      </c>
      <c r="Y118" s="29">
        <v>0</v>
      </c>
      <c r="Z118" s="29">
        <v>0</v>
      </c>
      <c r="AA118" s="29">
        <v>0</v>
      </c>
      <c r="AB118" s="134">
        <v>20.801600000000001</v>
      </c>
      <c r="AC118" s="134">
        <v>5.8742000000000001</v>
      </c>
      <c r="AD118" s="29" t="s">
        <v>568</v>
      </c>
      <c r="AE118" s="53">
        <v>3.5424000000000002</v>
      </c>
      <c r="AF118" s="53">
        <v>139.29750000000001</v>
      </c>
      <c r="AG118" s="53">
        <v>139.29750000000001</v>
      </c>
      <c r="AH118" s="31">
        <v>0.3</v>
      </c>
      <c r="AI118" s="31">
        <v>0.24</v>
      </c>
      <c r="AJ118" s="29">
        <v>0.18</v>
      </c>
      <c r="AK118" s="29">
        <v>0.15</v>
      </c>
      <c r="AL118" s="62">
        <v>50</v>
      </c>
      <c r="AM118" s="135">
        <v>15</v>
      </c>
      <c r="AN118" s="31">
        <v>0.08</v>
      </c>
      <c r="AO118" s="31">
        <v>0.8</v>
      </c>
      <c r="AP118" s="31">
        <v>0.8</v>
      </c>
      <c r="AQ118" s="31">
        <v>0.4</v>
      </c>
      <c r="AR118" s="31">
        <v>0.8</v>
      </c>
      <c r="AS118" s="130">
        <v>53.06</v>
      </c>
      <c r="AT118" s="29">
        <v>0</v>
      </c>
      <c r="AU118" s="29">
        <v>0</v>
      </c>
      <c r="AV118" s="71">
        <v>0.79590000000000005</v>
      </c>
      <c r="AW118" s="71">
        <v>0</v>
      </c>
      <c r="AX118" s="71">
        <v>0</v>
      </c>
      <c r="AY118" s="71">
        <v>0</v>
      </c>
      <c r="AZ118" s="19">
        <v>0.87</v>
      </c>
      <c r="BA118" s="65">
        <v>5.29</v>
      </c>
      <c r="BB118" s="29" t="b">
        <v>0</v>
      </c>
      <c r="BC118" s="29" t="b">
        <v>0</v>
      </c>
      <c r="BD118" s="29" t="s">
        <v>79</v>
      </c>
      <c r="BE118" s="29" t="b">
        <v>0</v>
      </c>
      <c r="BF118" s="29" t="b">
        <v>0</v>
      </c>
      <c r="BG118" s="62" t="b">
        <v>0</v>
      </c>
      <c r="BH118" s="30">
        <v>0.96799999999999997</v>
      </c>
      <c r="BI118" s="29" t="b">
        <v>0</v>
      </c>
      <c r="BJ118" s="62" t="s">
        <v>392</v>
      </c>
      <c r="BK118" s="29" t="b">
        <v>0</v>
      </c>
      <c r="BL118" s="29" t="b">
        <v>0</v>
      </c>
      <c r="BM118" s="29">
        <v>0</v>
      </c>
      <c r="BN118" s="29">
        <v>0</v>
      </c>
      <c r="BO118" s="29">
        <v>0</v>
      </c>
      <c r="BP118" s="29">
        <v>0</v>
      </c>
      <c r="BQ118" s="29" t="b">
        <v>0</v>
      </c>
      <c r="BR118" s="29">
        <v>0</v>
      </c>
      <c r="BS118" s="53">
        <v>0</v>
      </c>
      <c r="BT118" s="62" t="b">
        <v>0</v>
      </c>
      <c r="BU118" s="29" t="b">
        <v>0</v>
      </c>
      <c r="BV118" s="29" t="b">
        <v>0</v>
      </c>
      <c r="BW118" s="29" t="s">
        <v>79</v>
      </c>
      <c r="BX118" s="62" t="b">
        <v>0</v>
      </c>
      <c r="BY118" s="62" t="s">
        <v>431</v>
      </c>
    </row>
    <row r="119" spans="1:77" x14ac:dyDescent="0.2">
      <c r="A119" s="18" t="s">
        <v>823</v>
      </c>
      <c r="B119" s="133" t="s">
        <v>824</v>
      </c>
      <c r="C119" s="17" t="s">
        <v>122</v>
      </c>
      <c r="D119" s="164" t="s">
        <v>282</v>
      </c>
      <c r="E119" s="164" t="s">
        <v>124</v>
      </c>
      <c r="F119" s="63" t="s">
        <v>22</v>
      </c>
      <c r="G119" s="19" t="s">
        <v>376</v>
      </c>
      <c r="H119" s="29" t="b">
        <v>0</v>
      </c>
      <c r="I119" s="37" t="s">
        <v>79</v>
      </c>
      <c r="J119" s="17" t="s">
        <v>79</v>
      </c>
      <c r="K119" s="29" t="b">
        <v>0</v>
      </c>
      <c r="L119" s="70">
        <v>0</v>
      </c>
      <c r="M119" s="19">
        <v>300</v>
      </c>
      <c r="N119" s="29">
        <v>0</v>
      </c>
      <c r="O119" s="29">
        <v>0</v>
      </c>
      <c r="P119" s="29">
        <v>0</v>
      </c>
      <c r="Q119" s="29">
        <v>0</v>
      </c>
      <c r="R119" s="31">
        <v>0.96799999999999997</v>
      </c>
      <c r="S119" s="31">
        <v>0.45</v>
      </c>
      <c r="T119" s="72">
        <v>3.2000000000000001E-2</v>
      </c>
      <c r="U119" s="29">
        <v>0</v>
      </c>
      <c r="V119" s="29">
        <v>0</v>
      </c>
      <c r="W119" s="75">
        <v>1</v>
      </c>
      <c r="X119" s="29">
        <v>0</v>
      </c>
      <c r="Y119" s="29">
        <v>0</v>
      </c>
      <c r="Z119" s="29">
        <v>0</v>
      </c>
      <c r="AA119" s="29">
        <v>0</v>
      </c>
      <c r="AB119" s="134">
        <v>17.313199999999998</v>
      </c>
      <c r="AC119" s="134">
        <v>7.7580999999999998</v>
      </c>
      <c r="AD119" s="29" t="s">
        <v>568</v>
      </c>
      <c r="AE119" s="53">
        <v>3.5424000000000002</v>
      </c>
      <c r="AF119" s="53">
        <v>139.29750000000001</v>
      </c>
      <c r="AG119" s="53">
        <v>139.29750000000001</v>
      </c>
      <c r="AH119" s="31">
        <v>0.3</v>
      </c>
      <c r="AI119" s="31">
        <v>0.24</v>
      </c>
      <c r="AJ119" s="29">
        <v>0.18</v>
      </c>
      <c r="AK119" s="29">
        <v>0.15</v>
      </c>
      <c r="AL119" s="62">
        <v>50</v>
      </c>
      <c r="AM119" s="135">
        <v>16</v>
      </c>
      <c r="AN119" s="31">
        <v>0.08</v>
      </c>
      <c r="AO119" s="31">
        <v>0.8</v>
      </c>
      <c r="AP119" s="31">
        <v>0.8</v>
      </c>
      <c r="AQ119" s="31">
        <v>0.4</v>
      </c>
      <c r="AR119" s="31">
        <v>0.8</v>
      </c>
      <c r="AS119" s="130">
        <v>53.06</v>
      </c>
      <c r="AT119" s="29">
        <v>0</v>
      </c>
      <c r="AU119" s="29">
        <v>0</v>
      </c>
      <c r="AV119" s="71">
        <v>0.84896000000000005</v>
      </c>
      <c r="AW119" s="71">
        <v>0</v>
      </c>
      <c r="AX119" s="71">
        <v>0</v>
      </c>
      <c r="AY119" s="71">
        <v>0</v>
      </c>
      <c r="AZ119" s="19">
        <v>0.87</v>
      </c>
      <c r="BA119" s="65">
        <v>5.29</v>
      </c>
      <c r="BB119" s="29" t="b">
        <v>0</v>
      </c>
      <c r="BC119" s="29" t="b">
        <v>0</v>
      </c>
      <c r="BD119" s="29" t="s">
        <v>79</v>
      </c>
      <c r="BE119" s="29" t="b">
        <v>0</v>
      </c>
      <c r="BF119" s="29" t="b">
        <v>0</v>
      </c>
      <c r="BG119" s="62" t="b">
        <v>0</v>
      </c>
      <c r="BH119" s="30">
        <v>0.96799999999999997</v>
      </c>
      <c r="BI119" s="29" t="b">
        <v>0</v>
      </c>
      <c r="BJ119" s="62" t="s">
        <v>392</v>
      </c>
      <c r="BK119" s="29" t="b">
        <v>0</v>
      </c>
      <c r="BL119" s="29" t="b">
        <v>0</v>
      </c>
      <c r="BM119" s="29">
        <v>0</v>
      </c>
      <c r="BN119" s="29">
        <v>0</v>
      </c>
      <c r="BO119" s="29">
        <v>0</v>
      </c>
      <c r="BP119" s="29">
        <v>0</v>
      </c>
      <c r="BQ119" s="29" t="b">
        <v>0</v>
      </c>
      <c r="BR119" s="29">
        <v>0</v>
      </c>
      <c r="BS119" s="53">
        <v>0</v>
      </c>
      <c r="BT119" s="62" t="b">
        <v>0</v>
      </c>
      <c r="BU119" s="29" t="b">
        <v>0</v>
      </c>
      <c r="BV119" s="29" t="b">
        <v>0</v>
      </c>
      <c r="BW119" s="29" t="s">
        <v>79</v>
      </c>
      <c r="BX119" s="62" t="b">
        <v>0</v>
      </c>
      <c r="BY119" s="62" t="s">
        <v>431</v>
      </c>
    </row>
    <row r="120" spans="1:77" x14ac:dyDescent="0.2">
      <c r="A120" s="18" t="s">
        <v>825</v>
      </c>
      <c r="B120" s="133" t="s">
        <v>826</v>
      </c>
      <c r="C120" s="17" t="s">
        <v>122</v>
      </c>
      <c r="D120" s="164" t="s">
        <v>282</v>
      </c>
      <c r="E120" s="164" t="s">
        <v>124</v>
      </c>
      <c r="F120" s="63" t="s">
        <v>22</v>
      </c>
      <c r="G120" s="19" t="s">
        <v>376</v>
      </c>
      <c r="H120" s="29" t="b">
        <v>0</v>
      </c>
      <c r="I120" s="37" t="s">
        <v>79</v>
      </c>
      <c r="J120" s="17" t="s">
        <v>79</v>
      </c>
      <c r="K120" s="29" t="b">
        <v>0</v>
      </c>
      <c r="L120" s="70">
        <v>0</v>
      </c>
      <c r="M120" s="19">
        <v>300</v>
      </c>
      <c r="N120" s="29">
        <v>0</v>
      </c>
      <c r="O120" s="29">
        <v>0</v>
      </c>
      <c r="P120" s="29">
        <v>0</v>
      </c>
      <c r="Q120" s="29">
        <v>0</v>
      </c>
      <c r="R120" s="31">
        <v>0.96799999999999997</v>
      </c>
      <c r="S120" s="31">
        <v>0.45</v>
      </c>
      <c r="T120" s="72">
        <v>3.2000000000000001E-2</v>
      </c>
      <c r="U120" s="29">
        <v>0</v>
      </c>
      <c r="V120" s="29">
        <v>0</v>
      </c>
      <c r="W120" s="75">
        <v>1</v>
      </c>
      <c r="X120" s="29">
        <v>0</v>
      </c>
      <c r="Y120" s="29">
        <v>0</v>
      </c>
      <c r="Z120" s="29">
        <v>0</v>
      </c>
      <c r="AA120" s="29">
        <v>0</v>
      </c>
      <c r="AB120" s="134">
        <v>23.727399999999999</v>
      </c>
      <c r="AC120" s="134">
        <v>3.5728</v>
      </c>
      <c r="AD120" s="29" t="s">
        <v>568</v>
      </c>
      <c r="AE120" s="53">
        <v>3.5424000000000002</v>
      </c>
      <c r="AF120" s="53">
        <v>139.29750000000001</v>
      </c>
      <c r="AG120" s="53">
        <v>139.29750000000001</v>
      </c>
      <c r="AH120" s="31">
        <v>0.3</v>
      </c>
      <c r="AI120" s="31">
        <v>0.24</v>
      </c>
      <c r="AJ120" s="29">
        <v>0.18</v>
      </c>
      <c r="AK120" s="29">
        <v>0.15</v>
      </c>
      <c r="AL120" s="62">
        <v>50</v>
      </c>
      <c r="AM120" s="135">
        <v>17</v>
      </c>
      <c r="AN120" s="31">
        <v>0.08</v>
      </c>
      <c r="AO120" s="31">
        <v>0.8</v>
      </c>
      <c r="AP120" s="31">
        <v>0.8</v>
      </c>
      <c r="AQ120" s="31">
        <v>0.4</v>
      </c>
      <c r="AR120" s="31">
        <v>0.8</v>
      </c>
      <c r="AS120" s="130">
        <v>53.06</v>
      </c>
      <c r="AT120" s="29">
        <v>0</v>
      </c>
      <c r="AU120" s="29">
        <v>0</v>
      </c>
      <c r="AV120" s="71">
        <v>0.90201999999999993</v>
      </c>
      <c r="AW120" s="71">
        <v>0</v>
      </c>
      <c r="AX120" s="71">
        <v>0</v>
      </c>
      <c r="AY120" s="71">
        <v>0</v>
      </c>
      <c r="AZ120" s="19">
        <v>0.87</v>
      </c>
      <c r="BA120" s="65">
        <v>5.29</v>
      </c>
      <c r="BB120" s="29" t="b">
        <v>0</v>
      </c>
      <c r="BC120" s="29" t="b">
        <v>0</v>
      </c>
      <c r="BD120" s="29" t="s">
        <v>79</v>
      </c>
      <c r="BE120" s="29" t="b">
        <v>0</v>
      </c>
      <c r="BF120" s="29" t="b">
        <v>0</v>
      </c>
      <c r="BG120" s="62" t="b">
        <v>0</v>
      </c>
      <c r="BH120" s="30">
        <v>0.96799999999999997</v>
      </c>
      <c r="BI120" s="29" t="b">
        <v>0</v>
      </c>
      <c r="BJ120" s="62" t="s">
        <v>392</v>
      </c>
      <c r="BK120" s="29" t="b">
        <v>0</v>
      </c>
      <c r="BL120" s="29" t="b">
        <v>0</v>
      </c>
      <c r="BM120" s="29">
        <v>0</v>
      </c>
      <c r="BN120" s="29">
        <v>0</v>
      </c>
      <c r="BO120" s="29">
        <v>0</v>
      </c>
      <c r="BP120" s="29">
        <v>0</v>
      </c>
      <c r="BQ120" s="29" t="b">
        <v>0</v>
      </c>
      <c r="BR120" s="29">
        <v>0</v>
      </c>
      <c r="BS120" s="53">
        <v>0</v>
      </c>
      <c r="BT120" s="62" t="b">
        <v>0</v>
      </c>
      <c r="BU120" s="29" t="b">
        <v>0</v>
      </c>
      <c r="BV120" s="29" t="b">
        <v>0</v>
      </c>
      <c r="BW120" s="29" t="s">
        <v>79</v>
      </c>
      <c r="BX120" s="62" t="b">
        <v>0</v>
      </c>
      <c r="BY120" s="62" t="s">
        <v>431</v>
      </c>
    </row>
    <row r="121" spans="1:77" x14ac:dyDescent="0.2">
      <c r="A121" s="18" t="s">
        <v>827</v>
      </c>
      <c r="B121" s="133" t="s">
        <v>828</v>
      </c>
      <c r="C121" s="17" t="s">
        <v>122</v>
      </c>
      <c r="D121" s="164" t="s">
        <v>282</v>
      </c>
      <c r="E121" s="164" t="s">
        <v>124</v>
      </c>
      <c r="F121" s="63" t="s">
        <v>22</v>
      </c>
      <c r="G121" s="19" t="s">
        <v>376</v>
      </c>
      <c r="H121" s="29" t="b">
        <v>0</v>
      </c>
      <c r="I121" s="37" t="s">
        <v>79</v>
      </c>
      <c r="J121" s="17" t="s">
        <v>79</v>
      </c>
      <c r="K121" s="29" t="b">
        <v>0</v>
      </c>
      <c r="L121" s="70">
        <v>0</v>
      </c>
      <c r="M121" s="19">
        <v>300</v>
      </c>
      <c r="N121" s="29">
        <v>0</v>
      </c>
      <c r="O121" s="29">
        <v>0</v>
      </c>
      <c r="P121" s="29">
        <v>0</v>
      </c>
      <c r="Q121" s="29">
        <v>0</v>
      </c>
      <c r="R121" s="31">
        <v>0.96799999999999997</v>
      </c>
      <c r="S121" s="31">
        <v>0.45</v>
      </c>
      <c r="T121" s="72">
        <v>3.2000000000000001E-2</v>
      </c>
      <c r="U121" s="29">
        <v>0</v>
      </c>
      <c r="V121" s="29">
        <v>0</v>
      </c>
      <c r="W121" s="75">
        <v>1</v>
      </c>
      <c r="X121" s="29">
        <v>0</v>
      </c>
      <c r="Y121" s="29">
        <v>0</v>
      </c>
      <c r="Z121" s="29">
        <v>0</v>
      </c>
      <c r="AA121" s="29">
        <v>0</v>
      </c>
      <c r="AB121" s="134">
        <v>17.624199999999998</v>
      </c>
      <c r="AC121" s="134">
        <v>6.4882</v>
      </c>
      <c r="AD121" s="29" t="s">
        <v>568</v>
      </c>
      <c r="AE121" s="53">
        <v>3.5424000000000002</v>
      </c>
      <c r="AF121" s="53">
        <v>139.29750000000001</v>
      </c>
      <c r="AG121" s="53">
        <v>139.29750000000001</v>
      </c>
      <c r="AH121" s="31">
        <v>0.3</v>
      </c>
      <c r="AI121" s="31">
        <v>0.24</v>
      </c>
      <c r="AJ121" s="29">
        <v>0.18</v>
      </c>
      <c r="AK121" s="29">
        <v>0.15</v>
      </c>
      <c r="AL121" s="62">
        <v>50</v>
      </c>
      <c r="AM121" s="135">
        <v>18</v>
      </c>
      <c r="AN121" s="31">
        <v>0.08</v>
      </c>
      <c r="AO121" s="31">
        <v>0.8</v>
      </c>
      <c r="AP121" s="31">
        <v>0.8</v>
      </c>
      <c r="AQ121" s="31">
        <v>0.4</v>
      </c>
      <c r="AR121" s="31">
        <v>0.8</v>
      </c>
      <c r="AS121" s="130">
        <v>53.06</v>
      </c>
      <c r="AT121" s="29">
        <v>0</v>
      </c>
      <c r="AU121" s="29">
        <v>0</v>
      </c>
      <c r="AV121" s="71">
        <v>0.95508000000000004</v>
      </c>
      <c r="AW121" s="71">
        <v>0</v>
      </c>
      <c r="AX121" s="71">
        <v>0</v>
      </c>
      <c r="AY121" s="71">
        <v>0</v>
      </c>
      <c r="AZ121" s="19">
        <v>0.87</v>
      </c>
      <c r="BA121" s="65">
        <v>5.29</v>
      </c>
      <c r="BB121" s="29" t="b">
        <v>0</v>
      </c>
      <c r="BC121" s="29" t="b">
        <v>0</v>
      </c>
      <c r="BD121" s="29" t="s">
        <v>79</v>
      </c>
      <c r="BE121" s="29" t="b">
        <v>0</v>
      </c>
      <c r="BF121" s="29" t="b">
        <v>0</v>
      </c>
      <c r="BG121" s="62" t="b">
        <v>0</v>
      </c>
      <c r="BH121" s="30">
        <v>0.96799999999999997</v>
      </c>
      <c r="BI121" s="29" t="b">
        <v>0</v>
      </c>
      <c r="BJ121" s="62" t="s">
        <v>392</v>
      </c>
      <c r="BK121" s="29" t="b">
        <v>0</v>
      </c>
      <c r="BL121" s="29" t="b">
        <v>0</v>
      </c>
      <c r="BM121" s="29">
        <v>0</v>
      </c>
      <c r="BN121" s="29">
        <v>0</v>
      </c>
      <c r="BO121" s="29">
        <v>0</v>
      </c>
      <c r="BP121" s="29">
        <v>0</v>
      </c>
      <c r="BQ121" s="29" t="b">
        <v>0</v>
      </c>
      <c r="BR121" s="29">
        <v>0</v>
      </c>
      <c r="BS121" s="53">
        <v>0</v>
      </c>
      <c r="BT121" s="62" t="b">
        <v>0</v>
      </c>
      <c r="BU121" s="29" t="b">
        <v>0</v>
      </c>
      <c r="BV121" s="29" t="b">
        <v>0</v>
      </c>
      <c r="BW121" s="29" t="s">
        <v>79</v>
      </c>
      <c r="BX121" s="62" t="b">
        <v>0</v>
      </c>
      <c r="BY121" s="62" t="s">
        <v>431</v>
      </c>
    </row>
    <row r="122" spans="1:77" x14ac:dyDescent="0.2">
      <c r="A122" s="18" t="s">
        <v>829</v>
      </c>
      <c r="B122" s="133" t="s">
        <v>830</v>
      </c>
      <c r="C122" s="17" t="s">
        <v>122</v>
      </c>
      <c r="D122" s="164" t="s">
        <v>282</v>
      </c>
      <c r="E122" s="164" t="s">
        <v>612</v>
      </c>
      <c r="F122" s="63" t="s">
        <v>22</v>
      </c>
      <c r="G122" s="19" t="s">
        <v>376</v>
      </c>
      <c r="H122" s="29" t="b">
        <v>0</v>
      </c>
      <c r="I122" s="37" t="s">
        <v>79</v>
      </c>
      <c r="J122" s="17" t="s">
        <v>79</v>
      </c>
      <c r="K122" s="29" t="b">
        <v>0</v>
      </c>
      <c r="L122" s="70">
        <v>0</v>
      </c>
      <c r="M122" s="19">
        <v>100</v>
      </c>
      <c r="N122" s="29">
        <v>0</v>
      </c>
      <c r="O122" s="29">
        <v>0</v>
      </c>
      <c r="P122" s="29">
        <v>0</v>
      </c>
      <c r="Q122" s="29">
        <v>0</v>
      </c>
      <c r="R122" s="31">
        <v>0.96599999999999997</v>
      </c>
      <c r="S122" s="31">
        <v>0.39</v>
      </c>
      <c r="T122" s="72">
        <v>3.4000000000000002E-2</v>
      </c>
      <c r="U122" s="29">
        <v>0</v>
      </c>
      <c r="V122" s="29">
        <v>0</v>
      </c>
      <c r="W122" s="75">
        <v>1</v>
      </c>
      <c r="X122" s="29">
        <v>0</v>
      </c>
      <c r="Y122" s="29">
        <v>0</v>
      </c>
      <c r="Z122" s="29">
        <v>0</v>
      </c>
      <c r="AA122" s="29">
        <v>0</v>
      </c>
      <c r="AB122" s="134">
        <v>28.1708</v>
      </c>
      <c r="AC122" s="134">
        <v>6.0655000000000001</v>
      </c>
      <c r="AD122" s="29" t="s">
        <v>568</v>
      </c>
      <c r="AE122" s="53">
        <v>3.2841</v>
      </c>
      <c r="AF122" s="53">
        <v>139.29750000000001</v>
      </c>
      <c r="AG122" s="53">
        <v>139.29750000000001</v>
      </c>
      <c r="AH122" s="31">
        <v>0.3</v>
      </c>
      <c r="AI122" s="31">
        <v>0.24</v>
      </c>
      <c r="AJ122" s="29">
        <v>0.18</v>
      </c>
      <c r="AK122" s="29">
        <v>0.15</v>
      </c>
      <c r="AL122" s="62">
        <v>24</v>
      </c>
      <c r="AM122" s="135">
        <v>8</v>
      </c>
      <c r="AN122" s="31">
        <v>0.14000000000000001</v>
      </c>
      <c r="AO122" s="31">
        <v>1</v>
      </c>
      <c r="AP122" s="31">
        <v>1</v>
      </c>
      <c r="AQ122" s="31">
        <v>0.70000000000000007</v>
      </c>
      <c r="AR122" s="31">
        <v>1</v>
      </c>
      <c r="AS122" s="130">
        <v>53.06</v>
      </c>
      <c r="AT122" s="29">
        <v>0</v>
      </c>
      <c r="AU122" s="29">
        <v>0</v>
      </c>
      <c r="AV122" s="71">
        <v>0.42448000000000002</v>
      </c>
      <c r="AW122" s="71">
        <v>0</v>
      </c>
      <c r="AX122" s="71">
        <v>0</v>
      </c>
      <c r="AY122" s="71">
        <v>0</v>
      </c>
      <c r="AZ122" s="19">
        <v>0.83</v>
      </c>
      <c r="BA122" s="65">
        <v>1.6</v>
      </c>
      <c r="BB122" s="29" t="b">
        <v>0</v>
      </c>
      <c r="BC122" s="29" t="b">
        <v>0</v>
      </c>
      <c r="BD122" s="29" t="s">
        <v>79</v>
      </c>
      <c r="BE122" s="29" t="b">
        <v>0</v>
      </c>
      <c r="BF122" s="29" t="b">
        <v>0</v>
      </c>
      <c r="BG122" s="62" t="b">
        <v>0</v>
      </c>
      <c r="BH122" s="30">
        <v>0.96599999999999997</v>
      </c>
      <c r="BI122" s="29" t="b">
        <v>0</v>
      </c>
      <c r="BJ122" s="62" t="s">
        <v>395</v>
      </c>
      <c r="BK122" s="29" t="b">
        <v>0</v>
      </c>
      <c r="BL122" s="29" t="b">
        <v>0</v>
      </c>
      <c r="BM122" s="29">
        <v>0</v>
      </c>
      <c r="BN122" s="29">
        <v>0</v>
      </c>
      <c r="BO122" s="29">
        <v>0</v>
      </c>
      <c r="BP122" s="29">
        <v>0</v>
      </c>
      <c r="BQ122" s="29" t="b">
        <v>0</v>
      </c>
      <c r="BR122" s="29">
        <v>0</v>
      </c>
      <c r="BS122" s="53">
        <v>0</v>
      </c>
      <c r="BT122" s="62" t="b">
        <v>0</v>
      </c>
      <c r="BU122" s="29" t="b">
        <v>0</v>
      </c>
      <c r="BV122" s="29" t="b">
        <v>0</v>
      </c>
      <c r="BW122" s="29" t="s">
        <v>79</v>
      </c>
      <c r="BX122" s="62" t="b">
        <v>0</v>
      </c>
      <c r="BY122" s="62" t="s">
        <v>431</v>
      </c>
    </row>
    <row r="123" spans="1:77" x14ac:dyDescent="0.2">
      <c r="A123" s="18" t="s">
        <v>831</v>
      </c>
      <c r="B123" s="133" t="s">
        <v>832</v>
      </c>
      <c r="C123" s="17" t="s">
        <v>122</v>
      </c>
      <c r="D123" s="164" t="s">
        <v>282</v>
      </c>
      <c r="E123" s="164" t="s">
        <v>612</v>
      </c>
      <c r="F123" s="63" t="s">
        <v>22</v>
      </c>
      <c r="G123" s="19" t="s">
        <v>376</v>
      </c>
      <c r="H123" s="29" t="b">
        <v>0</v>
      </c>
      <c r="I123" s="37" t="s">
        <v>79</v>
      </c>
      <c r="J123" s="17" t="s">
        <v>79</v>
      </c>
      <c r="K123" s="29" t="b">
        <v>0</v>
      </c>
      <c r="L123" s="70">
        <v>0</v>
      </c>
      <c r="M123" s="19">
        <v>100</v>
      </c>
      <c r="N123" s="29">
        <v>0</v>
      </c>
      <c r="O123" s="29">
        <v>0</v>
      </c>
      <c r="P123" s="29">
        <v>0</v>
      </c>
      <c r="Q123" s="29">
        <v>0</v>
      </c>
      <c r="R123" s="31">
        <v>0.96599999999999997</v>
      </c>
      <c r="S123" s="31">
        <v>0.39</v>
      </c>
      <c r="T123" s="72">
        <v>3.4000000000000002E-2</v>
      </c>
      <c r="U123" s="29">
        <v>0</v>
      </c>
      <c r="V123" s="29">
        <v>0</v>
      </c>
      <c r="W123" s="75">
        <v>1</v>
      </c>
      <c r="X123" s="29">
        <v>0</v>
      </c>
      <c r="Y123" s="29">
        <v>0</v>
      </c>
      <c r="Z123" s="29">
        <v>0</v>
      </c>
      <c r="AA123" s="29">
        <v>0</v>
      </c>
      <c r="AB123" s="134">
        <v>18.476900000000001</v>
      </c>
      <c r="AC123" s="134">
        <v>2.0184000000000002</v>
      </c>
      <c r="AD123" s="29" t="s">
        <v>568</v>
      </c>
      <c r="AE123" s="53">
        <v>3.2841</v>
      </c>
      <c r="AF123" s="53">
        <v>139.29750000000001</v>
      </c>
      <c r="AG123" s="53">
        <v>139.29750000000001</v>
      </c>
      <c r="AH123" s="31">
        <v>0.3</v>
      </c>
      <c r="AI123" s="31">
        <v>0.24</v>
      </c>
      <c r="AJ123" s="29">
        <v>0.18</v>
      </c>
      <c r="AK123" s="29">
        <v>0.15</v>
      </c>
      <c r="AL123" s="62">
        <v>24</v>
      </c>
      <c r="AM123" s="135">
        <v>9</v>
      </c>
      <c r="AN123" s="31">
        <v>0.14000000000000001</v>
      </c>
      <c r="AO123" s="31">
        <v>1</v>
      </c>
      <c r="AP123" s="31">
        <v>1</v>
      </c>
      <c r="AQ123" s="31">
        <v>0.70000000000000007</v>
      </c>
      <c r="AR123" s="31">
        <v>1</v>
      </c>
      <c r="AS123" s="130">
        <v>53.06</v>
      </c>
      <c r="AT123" s="29">
        <v>0</v>
      </c>
      <c r="AU123" s="29">
        <v>0</v>
      </c>
      <c r="AV123" s="71">
        <v>0.47754000000000002</v>
      </c>
      <c r="AW123" s="71">
        <v>0</v>
      </c>
      <c r="AX123" s="71">
        <v>0</v>
      </c>
      <c r="AY123" s="71">
        <v>0</v>
      </c>
      <c r="AZ123" s="19">
        <v>0.83</v>
      </c>
      <c r="BA123" s="65">
        <v>1.6</v>
      </c>
      <c r="BB123" s="29" t="b">
        <v>0</v>
      </c>
      <c r="BC123" s="29" t="b">
        <v>0</v>
      </c>
      <c r="BD123" s="29" t="s">
        <v>79</v>
      </c>
      <c r="BE123" s="29" t="b">
        <v>0</v>
      </c>
      <c r="BF123" s="29" t="b">
        <v>0</v>
      </c>
      <c r="BG123" s="62" t="b">
        <v>0</v>
      </c>
      <c r="BH123" s="30">
        <v>0.96599999999999997</v>
      </c>
      <c r="BI123" s="29" t="b">
        <v>0</v>
      </c>
      <c r="BJ123" s="62" t="s">
        <v>395</v>
      </c>
      <c r="BK123" s="29" t="b">
        <v>0</v>
      </c>
      <c r="BL123" s="29" t="b">
        <v>0</v>
      </c>
      <c r="BM123" s="29">
        <v>0</v>
      </c>
      <c r="BN123" s="29">
        <v>0</v>
      </c>
      <c r="BO123" s="29">
        <v>0</v>
      </c>
      <c r="BP123" s="29">
        <v>0</v>
      </c>
      <c r="BQ123" s="29" t="b">
        <v>0</v>
      </c>
      <c r="BR123" s="29">
        <v>0</v>
      </c>
      <c r="BS123" s="53">
        <v>0</v>
      </c>
      <c r="BT123" s="62" t="b">
        <v>0</v>
      </c>
      <c r="BU123" s="29" t="b">
        <v>0</v>
      </c>
      <c r="BV123" s="29" t="b">
        <v>0</v>
      </c>
      <c r="BW123" s="29" t="s">
        <v>79</v>
      </c>
      <c r="BX123" s="62" t="b">
        <v>0</v>
      </c>
      <c r="BY123" s="62" t="s">
        <v>431</v>
      </c>
    </row>
    <row r="124" spans="1:77" x14ac:dyDescent="0.2">
      <c r="A124" s="18" t="s">
        <v>833</v>
      </c>
      <c r="B124" s="133" t="s">
        <v>834</v>
      </c>
      <c r="C124" s="17" t="s">
        <v>122</v>
      </c>
      <c r="D124" s="164" t="s">
        <v>282</v>
      </c>
      <c r="E124" s="164" t="s">
        <v>612</v>
      </c>
      <c r="F124" s="63" t="s">
        <v>22</v>
      </c>
      <c r="G124" s="19" t="s">
        <v>376</v>
      </c>
      <c r="H124" s="29" t="b">
        <v>0</v>
      </c>
      <c r="I124" s="37" t="s">
        <v>79</v>
      </c>
      <c r="J124" s="17" t="s">
        <v>79</v>
      </c>
      <c r="K124" s="29" t="b">
        <v>0</v>
      </c>
      <c r="L124" s="70">
        <v>0</v>
      </c>
      <c r="M124" s="19">
        <v>100</v>
      </c>
      <c r="N124" s="29">
        <v>0</v>
      </c>
      <c r="O124" s="29">
        <v>0</v>
      </c>
      <c r="P124" s="29">
        <v>0</v>
      </c>
      <c r="Q124" s="29">
        <v>0</v>
      </c>
      <c r="R124" s="31">
        <v>0.96599999999999997</v>
      </c>
      <c r="S124" s="31">
        <v>0.39</v>
      </c>
      <c r="T124" s="72">
        <v>3.4000000000000002E-2</v>
      </c>
      <c r="U124" s="29">
        <v>0</v>
      </c>
      <c r="V124" s="29">
        <v>0</v>
      </c>
      <c r="W124" s="75">
        <v>1</v>
      </c>
      <c r="X124" s="29">
        <v>0</v>
      </c>
      <c r="Y124" s="29">
        <v>0</v>
      </c>
      <c r="Z124" s="29">
        <v>0</v>
      </c>
      <c r="AA124" s="29">
        <v>0</v>
      </c>
      <c r="AB124" s="134">
        <v>28.961400000000001</v>
      </c>
      <c r="AC124" s="134">
        <v>4.8695000000000004</v>
      </c>
      <c r="AD124" s="29" t="s">
        <v>568</v>
      </c>
      <c r="AE124" s="53">
        <v>3.2841</v>
      </c>
      <c r="AF124" s="53">
        <v>139.29750000000001</v>
      </c>
      <c r="AG124" s="53">
        <v>139.29750000000001</v>
      </c>
      <c r="AH124" s="31">
        <v>0.3</v>
      </c>
      <c r="AI124" s="31">
        <v>0.24</v>
      </c>
      <c r="AJ124" s="29">
        <v>0.18</v>
      </c>
      <c r="AK124" s="29">
        <v>0.15</v>
      </c>
      <c r="AL124" s="62">
        <v>24</v>
      </c>
      <c r="AM124" s="135">
        <v>10</v>
      </c>
      <c r="AN124" s="31">
        <v>0.14000000000000001</v>
      </c>
      <c r="AO124" s="31">
        <v>1</v>
      </c>
      <c r="AP124" s="31">
        <v>1</v>
      </c>
      <c r="AQ124" s="31">
        <v>0.70000000000000007</v>
      </c>
      <c r="AR124" s="31">
        <v>1</v>
      </c>
      <c r="AS124" s="130">
        <v>53.06</v>
      </c>
      <c r="AT124" s="29">
        <v>0</v>
      </c>
      <c r="AU124" s="29">
        <v>0</v>
      </c>
      <c r="AV124" s="71">
        <v>0.53060000000000007</v>
      </c>
      <c r="AW124" s="71">
        <v>0</v>
      </c>
      <c r="AX124" s="71">
        <v>0</v>
      </c>
      <c r="AY124" s="71">
        <v>0</v>
      </c>
      <c r="AZ124" s="19">
        <v>0.83</v>
      </c>
      <c r="BA124" s="65">
        <v>1.6</v>
      </c>
      <c r="BB124" s="29" t="b">
        <v>0</v>
      </c>
      <c r="BC124" s="29" t="b">
        <v>0</v>
      </c>
      <c r="BD124" s="29" t="s">
        <v>79</v>
      </c>
      <c r="BE124" s="29" t="b">
        <v>0</v>
      </c>
      <c r="BF124" s="29" t="b">
        <v>0</v>
      </c>
      <c r="BG124" s="62" t="b">
        <v>0</v>
      </c>
      <c r="BH124" s="30">
        <v>0.96599999999999997</v>
      </c>
      <c r="BI124" s="29" t="b">
        <v>0</v>
      </c>
      <c r="BJ124" s="62" t="s">
        <v>395</v>
      </c>
      <c r="BK124" s="29" t="b">
        <v>0</v>
      </c>
      <c r="BL124" s="29" t="b">
        <v>0</v>
      </c>
      <c r="BM124" s="29">
        <v>0</v>
      </c>
      <c r="BN124" s="29">
        <v>0</v>
      </c>
      <c r="BO124" s="29">
        <v>0</v>
      </c>
      <c r="BP124" s="29">
        <v>0</v>
      </c>
      <c r="BQ124" s="29" t="b">
        <v>0</v>
      </c>
      <c r="BR124" s="29">
        <v>0</v>
      </c>
      <c r="BS124" s="53">
        <v>0</v>
      </c>
      <c r="BT124" s="62" t="b">
        <v>0</v>
      </c>
      <c r="BU124" s="29" t="b">
        <v>0</v>
      </c>
      <c r="BV124" s="29" t="b">
        <v>0</v>
      </c>
      <c r="BW124" s="29" t="s">
        <v>79</v>
      </c>
      <c r="BX124" s="62" t="b">
        <v>0</v>
      </c>
      <c r="BY124" s="62" t="s">
        <v>431</v>
      </c>
    </row>
    <row r="125" spans="1:77" x14ac:dyDescent="0.2">
      <c r="A125" s="18" t="s">
        <v>835</v>
      </c>
      <c r="B125" s="133" t="s">
        <v>836</v>
      </c>
      <c r="C125" s="17" t="s">
        <v>122</v>
      </c>
      <c r="D125" s="164" t="s">
        <v>282</v>
      </c>
      <c r="E125" s="164" t="s">
        <v>612</v>
      </c>
      <c r="F125" s="63" t="s">
        <v>22</v>
      </c>
      <c r="G125" s="19" t="s">
        <v>376</v>
      </c>
      <c r="H125" s="29" t="b">
        <v>0</v>
      </c>
      <c r="I125" s="37" t="s">
        <v>79</v>
      </c>
      <c r="J125" s="17" t="s">
        <v>79</v>
      </c>
      <c r="K125" s="29" t="b">
        <v>0</v>
      </c>
      <c r="L125" s="70">
        <v>0</v>
      </c>
      <c r="M125" s="19">
        <v>100</v>
      </c>
      <c r="N125" s="29">
        <v>0</v>
      </c>
      <c r="O125" s="29">
        <v>0</v>
      </c>
      <c r="P125" s="29">
        <v>0</v>
      </c>
      <c r="Q125" s="29">
        <v>0</v>
      </c>
      <c r="R125" s="31">
        <v>0.96599999999999997</v>
      </c>
      <c r="S125" s="31">
        <v>0.39</v>
      </c>
      <c r="T125" s="72">
        <v>3.4000000000000002E-2</v>
      </c>
      <c r="U125" s="29">
        <v>0</v>
      </c>
      <c r="V125" s="29">
        <v>0</v>
      </c>
      <c r="W125" s="75">
        <v>1</v>
      </c>
      <c r="X125" s="29">
        <v>0</v>
      </c>
      <c r="Y125" s="29">
        <v>0</v>
      </c>
      <c r="Z125" s="29">
        <v>0</v>
      </c>
      <c r="AA125" s="29">
        <v>0</v>
      </c>
      <c r="AB125" s="134">
        <v>25.246500000000001</v>
      </c>
      <c r="AC125" s="134">
        <v>9.5227000000000004</v>
      </c>
      <c r="AD125" s="29" t="s">
        <v>568</v>
      </c>
      <c r="AE125" s="53">
        <v>3.2841</v>
      </c>
      <c r="AF125" s="53">
        <v>139.29750000000001</v>
      </c>
      <c r="AG125" s="53">
        <v>139.29750000000001</v>
      </c>
      <c r="AH125" s="31">
        <v>0.3</v>
      </c>
      <c r="AI125" s="31">
        <v>0.24</v>
      </c>
      <c r="AJ125" s="29">
        <v>0.18</v>
      </c>
      <c r="AK125" s="29">
        <v>0.15</v>
      </c>
      <c r="AL125" s="62">
        <v>24</v>
      </c>
      <c r="AM125" s="135">
        <v>11</v>
      </c>
      <c r="AN125" s="31">
        <v>0.14000000000000001</v>
      </c>
      <c r="AO125" s="31">
        <v>1</v>
      </c>
      <c r="AP125" s="31">
        <v>1</v>
      </c>
      <c r="AQ125" s="31">
        <v>0.70000000000000007</v>
      </c>
      <c r="AR125" s="31">
        <v>1</v>
      </c>
      <c r="AS125" s="130">
        <v>53.06</v>
      </c>
      <c r="AT125" s="29">
        <v>0</v>
      </c>
      <c r="AU125" s="29">
        <v>0</v>
      </c>
      <c r="AV125" s="71">
        <v>0.58366000000000007</v>
      </c>
      <c r="AW125" s="71">
        <v>0</v>
      </c>
      <c r="AX125" s="71">
        <v>0</v>
      </c>
      <c r="AY125" s="71">
        <v>0</v>
      </c>
      <c r="AZ125" s="19">
        <v>0.83</v>
      </c>
      <c r="BA125" s="65">
        <v>1.6</v>
      </c>
      <c r="BB125" s="29" t="b">
        <v>0</v>
      </c>
      <c r="BC125" s="29" t="b">
        <v>0</v>
      </c>
      <c r="BD125" s="29" t="s">
        <v>79</v>
      </c>
      <c r="BE125" s="29" t="b">
        <v>0</v>
      </c>
      <c r="BF125" s="29" t="b">
        <v>0</v>
      </c>
      <c r="BG125" s="62" t="b">
        <v>0</v>
      </c>
      <c r="BH125" s="30">
        <v>0.96599999999999997</v>
      </c>
      <c r="BI125" s="29" t="b">
        <v>0</v>
      </c>
      <c r="BJ125" s="62" t="s">
        <v>395</v>
      </c>
      <c r="BK125" s="29" t="b">
        <v>0</v>
      </c>
      <c r="BL125" s="29" t="b">
        <v>0</v>
      </c>
      <c r="BM125" s="29">
        <v>0</v>
      </c>
      <c r="BN125" s="29">
        <v>0</v>
      </c>
      <c r="BO125" s="29">
        <v>0</v>
      </c>
      <c r="BP125" s="29">
        <v>0</v>
      </c>
      <c r="BQ125" s="29" t="b">
        <v>0</v>
      </c>
      <c r="BR125" s="29">
        <v>0</v>
      </c>
      <c r="BS125" s="53">
        <v>0</v>
      </c>
      <c r="BT125" s="62" t="b">
        <v>0</v>
      </c>
      <c r="BU125" s="29" t="b">
        <v>0</v>
      </c>
      <c r="BV125" s="29" t="b">
        <v>0</v>
      </c>
      <c r="BW125" s="29" t="s">
        <v>79</v>
      </c>
      <c r="BX125" s="62" t="b">
        <v>0</v>
      </c>
      <c r="BY125" s="62" t="s">
        <v>431</v>
      </c>
    </row>
    <row r="126" spans="1:77" x14ac:dyDescent="0.2">
      <c r="A126" s="18" t="s">
        <v>837</v>
      </c>
      <c r="B126" s="133" t="s">
        <v>838</v>
      </c>
      <c r="C126" s="17" t="s">
        <v>122</v>
      </c>
      <c r="D126" s="164" t="s">
        <v>282</v>
      </c>
      <c r="E126" s="164" t="s">
        <v>612</v>
      </c>
      <c r="F126" s="63" t="s">
        <v>22</v>
      </c>
      <c r="G126" s="19" t="s">
        <v>376</v>
      </c>
      <c r="H126" s="29" t="b">
        <v>0</v>
      </c>
      <c r="I126" s="37" t="s">
        <v>79</v>
      </c>
      <c r="J126" s="17" t="s">
        <v>79</v>
      </c>
      <c r="K126" s="29" t="b">
        <v>0</v>
      </c>
      <c r="L126" s="70">
        <v>0</v>
      </c>
      <c r="M126" s="19">
        <v>100</v>
      </c>
      <c r="N126" s="29">
        <v>0</v>
      </c>
      <c r="O126" s="29">
        <v>0</v>
      </c>
      <c r="P126" s="29">
        <v>0</v>
      </c>
      <c r="Q126" s="29">
        <v>0</v>
      </c>
      <c r="R126" s="31">
        <v>0.96599999999999997</v>
      </c>
      <c r="S126" s="31">
        <v>0.39</v>
      </c>
      <c r="T126" s="72">
        <v>3.4000000000000002E-2</v>
      </c>
      <c r="U126" s="29">
        <v>0</v>
      </c>
      <c r="V126" s="29">
        <v>0</v>
      </c>
      <c r="W126" s="75">
        <v>1</v>
      </c>
      <c r="X126" s="29">
        <v>0</v>
      </c>
      <c r="Y126" s="29">
        <v>0</v>
      </c>
      <c r="Z126" s="29">
        <v>0</v>
      </c>
      <c r="AA126" s="29">
        <v>0</v>
      </c>
      <c r="AB126" s="134">
        <v>27.4344</v>
      </c>
      <c r="AC126" s="134">
        <v>15.305199999999999</v>
      </c>
      <c r="AD126" s="29" t="s">
        <v>568</v>
      </c>
      <c r="AE126" s="53">
        <v>3.2841</v>
      </c>
      <c r="AF126" s="53">
        <v>139.29750000000001</v>
      </c>
      <c r="AG126" s="53">
        <v>139.29750000000001</v>
      </c>
      <c r="AH126" s="31">
        <v>0.3</v>
      </c>
      <c r="AI126" s="31">
        <v>0.24</v>
      </c>
      <c r="AJ126" s="29">
        <v>0.18</v>
      </c>
      <c r="AK126" s="29">
        <v>0.15</v>
      </c>
      <c r="AL126" s="62">
        <v>24</v>
      </c>
      <c r="AM126" s="135">
        <v>12</v>
      </c>
      <c r="AN126" s="31">
        <v>0.14000000000000001</v>
      </c>
      <c r="AO126" s="31">
        <v>1</v>
      </c>
      <c r="AP126" s="31">
        <v>1</v>
      </c>
      <c r="AQ126" s="31">
        <v>0.70000000000000007</v>
      </c>
      <c r="AR126" s="31">
        <v>1</v>
      </c>
      <c r="AS126" s="130">
        <v>53.06</v>
      </c>
      <c r="AT126" s="29">
        <v>0</v>
      </c>
      <c r="AU126" s="29">
        <v>0</v>
      </c>
      <c r="AV126" s="71">
        <v>0.63672000000000006</v>
      </c>
      <c r="AW126" s="71">
        <v>0</v>
      </c>
      <c r="AX126" s="71">
        <v>0</v>
      </c>
      <c r="AY126" s="71">
        <v>0</v>
      </c>
      <c r="AZ126" s="19">
        <v>0.83</v>
      </c>
      <c r="BA126" s="65">
        <v>1.6</v>
      </c>
      <c r="BB126" s="29" t="b">
        <v>0</v>
      </c>
      <c r="BC126" s="29" t="b">
        <v>0</v>
      </c>
      <c r="BD126" s="29" t="s">
        <v>79</v>
      </c>
      <c r="BE126" s="29" t="b">
        <v>0</v>
      </c>
      <c r="BF126" s="29" t="b">
        <v>0</v>
      </c>
      <c r="BG126" s="62" t="b">
        <v>0</v>
      </c>
      <c r="BH126" s="30">
        <v>0.96599999999999997</v>
      </c>
      <c r="BI126" s="29" t="b">
        <v>0</v>
      </c>
      <c r="BJ126" s="62" t="s">
        <v>395</v>
      </c>
      <c r="BK126" s="29" t="b">
        <v>0</v>
      </c>
      <c r="BL126" s="29" t="b">
        <v>0</v>
      </c>
      <c r="BM126" s="29">
        <v>0</v>
      </c>
      <c r="BN126" s="29">
        <v>0</v>
      </c>
      <c r="BO126" s="29">
        <v>0</v>
      </c>
      <c r="BP126" s="29">
        <v>0</v>
      </c>
      <c r="BQ126" s="29" t="b">
        <v>0</v>
      </c>
      <c r="BR126" s="29">
        <v>0</v>
      </c>
      <c r="BS126" s="53">
        <v>0</v>
      </c>
      <c r="BT126" s="62" t="b">
        <v>0</v>
      </c>
      <c r="BU126" s="29" t="b">
        <v>0</v>
      </c>
      <c r="BV126" s="29" t="b">
        <v>0</v>
      </c>
      <c r="BW126" s="29" t="s">
        <v>79</v>
      </c>
      <c r="BX126" s="62" t="b">
        <v>0</v>
      </c>
      <c r="BY126" s="62" t="s">
        <v>431</v>
      </c>
    </row>
    <row r="127" spans="1:77" x14ac:dyDescent="0.2">
      <c r="A127" s="18" t="s">
        <v>839</v>
      </c>
      <c r="B127" s="133" t="s">
        <v>840</v>
      </c>
      <c r="C127" s="17" t="s">
        <v>122</v>
      </c>
      <c r="D127" s="164" t="s">
        <v>282</v>
      </c>
      <c r="E127" s="164" t="s">
        <v>612</v>
      </c>
      <c r="F127" s="63" t="s">
        <v>22</v>
      </c>
      <c r="G127" s="19" t="s">
        <v>376</v>
      </c>
      <c r="H127" s="29" t="b">
        <v>0</v>
      </c>
      <c r="I127" s="37" t="s">
        <v>79</v>
      </c>
      <c r="J127" s="17" t="s">
        <v>79</v>
      </c>
      <c r="K127" s="29" t="b">
        <v>0</v>
      </c>
      <c r="L127" s="70">
        <v>0</v>
      </c>
      <c r="M127" s="19">
        <v>100</v>
      </c>
      <c r="N127" s="29">
        <v>0</v>
      </c>
      <c r="O127" s="29">
        <v>0</v>
      </c>
      <c r="P127" s="29">
        <v>0</v>
      </c>
      <c r="Q127" s="29">
        <v>0</v>
      </c>
      <c r="R127" s="31">
        <v>0.96599999999999997</v>
      </c>
      <c r="S127" s="31">
        <v>0.39</v>
      </c>
      <c r="T127" s="72">
        <v>3.4000000000000002E-2</v>
      </c>
      <c r="U127" s="29">
        <v>0</v>
      </c>
      <c r="V127" s="29">
        <v>0</v>
      </c>
      <c r="W127" s="75">
        <v>1</v>
      </c>
      <c r="X127" s="29">
        <v>0</v>
      </c>
      <c r="Y127" s="29">
        <v>0</v>
      </c>
      <c r="Z127" s="29">
        <v>0</v>
      </c>
      <c r="AA127" s="29">
        <v>0</v>
      </c>
      <c r="AB127" s="134">
        <v>46.936900000000001</v>
      </c>
      <c r="AC127" s="134">
        <v>19.8002</v>
      </c>
      <c r="AD127" s="29" t="s">
        <v>568</v>
      </c>
      <c r="AE127" s="53">
        <v>3.2841</v>
      </c>
      <c r="AF127" s="53">
        <v>139.29750000000001</v>
      </c>
      <c r="AG127" s="53">
        <v>139.29750000000001</v>
      </c>
      <c r="AH127" s="31">
        <v>0.3</v>
      </c>
      <c r="AI127" s="31">
        <v>0.24</v>
      </c>
      <c r="AJ127" s="29">
        <v>0.18</v>
      </c>
      <c r="AK127" s="29">
        <v>0.15</v>
      </c>
      <c r="AL127" s="62">
        <v>24</v>
      </c>
      <c r="AM127" s="135">
        <v>13</v>
      </c>
      <c r="AN127" s="31">
        <v>0.14000000000000001</v>
      </c>
      <c r="AO127" s="31">
        <v>1</v>
      </c>
      <c r="AP127" s="31">
        <v>1</v>
      </c>
      <c r="AQ127" s="31">
        <v>0.70000000000000007</v>
      </c>
      <c r="AR127" s="31">
        <v>1</v>
      </c>
      <c r="AS127" s="130">
        <v>53.06</v>
      </c>
      <c r="AT127" s="29">
        <v>0</v>
      </c>
      <c r="AU127" s="29">
        <v>0</v>
      </c>
      <c r="AV127" s="71">
        <v>0.68977999999999995</v>
      </c>
      <c r="AW127" s="71">
        <v>0</v>
      </c>
      <c r="AX127" s="71">
        <v>0</v>
      </c>
      <c r="AY127" s="71">
        <v>0</v>
      </c>
      <c r="AZ127" s="19">
        <v>0.83</v>
      </c>
      <c r="BA127" s="65">
        <v>1.6</v>
      </c>
      <c r="BB127" s="29" t="b">
        <v>0</v>
      </c>
      <c r="BC127" s="29" t="b">
        <v>0</v>
      </c>
      <c r="BD127" s="29" t="s">
        <v>79</v>
      </c>
      <c r="BE127" s="29" t="b">
        <v>0</v>
      </c>
      <c r="BF127" s="29" t="b">
        <v>0</v>
      </c>
      <c r="BG127" s="62" t="b">
        <v>0</v>
      </c>
      <c r="BH127" s="30">
        <v>0.96599999999999997</v>
      </c>
      <c r="BI127" s="29" t="b">
        <v>0</v>
      </c>
      <c r="BJ127" s="62" t="s">
        <v>395</v>
      </c>
      <c r="BK127" s="29" t="b">
        <v>0</v>
      </c>
      <c r="BL127" s="29" t="b">
        <v>0</v>
      </c>
      <c r="BM127" s="29">
        <v>0</v>
      </c>
      <c r="BN127" s="29">
        <v>0</v>
      </c>
      <c r="BO127" s="29">
        <v>0</v>
      </c>
      <c r="BP127" s="29">
        <v>0</v>
      </c>
      <c r="BQ127" s="29" t="b">
        <v>0</v>
      </c>
      <c r="BR127" s="29">
        <v>0</v>
      </c>
      <c r="BS127" s="53">
        <v>0</v>
      </c>
      <c r="BT127" s="62" t="b">
        <v>0</v>
      </c>
      <c r="BU127" s="29" t="b">
        <v>0</v>
      </c>
      <c r="BV127" s="29" t="b">
        <v>0</v>
      </c>
      <c r="BW127" s="29" t="s">
        <v>79</v>
      </c>
      <c r="BX127" s="62" t="b">
        <v>0</v>
      </c>
      <c r="BY127" s="62" t="s">
        <v>431</v>
      </c>
    </row>
    <row r="128" spans="1:77" x14ac:dyDescent="0.2">
      <c r="A128" s="18" t="s">
        <v>841</v>
      </c>
      <c r="B128" s="133" t="s">
        <v>842</v>
      </c>
      <c r="C128" s="17" t="s">
        <v>122</v>
      </c>
      <c r="D128" s="164" t="s">
        <v>282</v>
      </c>
      <c r="E128" s="164" t="s">
        <v>612</v>
      </c>
      <c r="F128" s="63" t="s">
        <v>22</v>
      </c>
      <c r="G128" s="19" t="s">
        <v>376</v>
      </c>
      <c r="H128" s="29" t="b">
        <v>0</v>
      </c>
      <c r="I128" s="37" t="s">
        <v>79</v>
      </c>
      <c r="J128" s="17" t="s">
        <v>79</v>
      </c>
      <c r="K128" s="29" t="b">
        <v>0</v>
      </c>
      <c r="L128" s="70">
        <v>0</v>
      </c>
      <c r="M128" s="19">
        <v>100</v>
      </c>
      <c r="N128" s="29">
        <v>0</v>
      </c>
      <c r="O128" s="29">
        <v>0</v>
      </c>
      <c r="P128" s="29">
        <v>0</v>
      </c>
      <c r="Q128" s="29">
        <v>0</v>
      </c>
      <c r="R128" s="31">
        <v>0.96599999999999997</v>
      </c>
      <c r="S128" s="31">
        <v>0.39</v>
      </c>
      <c r="T128" s="72">
        <v>3.4000000000000002E-2</v>
      </c>
      <c r="U128" s="29">
        <v>0</v>
      </c>
      <c r="V128" s="29">
        <v>0</v>
      </c>
      <c r="W128" s="75">
        <v>1</v>
      </c>
      <c r="X128" s="29">
        <v>0</v>
      </c>
      <c r="Y128" s="29">
        <v>0</v>
      </c>
      <c r="Z128" s="29">
        <v>0</v>
      </c>
      <c r="AA128" s="29">
        <v>0</v>
      </c>
      <c r="AB128" s="134">
        <v>28.05</v>
      </c>
      <c r="AC128" s="134">
        <v>3.504</v>
      </c>
      <c r="AD128" s="29" t="s">
        <v>568</v>
      </c>
      <c r="AE128" s="53">
        <v>3.2841</v>
      </c>
      <c r="AF128" s="53">
        <v>139.29750000000001</v>
      </c>
      <c r="AG128" s="53">
        <v>139.29750000000001</v>
      </c>
      <c r="AH128" s="31">
        <v>0.3</v>
      </c>
      <c r="AI128" s="31">
        <v>0.24</v>
      </c>
      <c r="AJ128" s="29">
        <v>0.18</v>
      </c>
      <c r="AK128" s="29">
        <v>0.15</v>
      </c>
      <c r="AL128" s="62">
        <v>24</v>
      </c>
      <c r="AM128" s="135">
        <v>14</v>
      </c>
      <c r="AN128" s="31">
        <v>0.14000000000000001</v>
      </c>
      <c r="AO128" s="31">
        <v>1</v>
      </c>
      <c r="AP128" s="31">
        <v>1</v>
      </c>
      <c r="AQ128" s="31">
        <v>0.70000000000000007</v>
      </c>
      <c r="AR128" s="31">
        <v>1</v>
      </c>
      <c r="AS128" s="130">
        <v>53.06</v>
      </c>
      <c r="AT128" s="29">
        <v>0</v>
      </c>
      <c r="AU128" s="29">
        <v>0</v>
      </c>
      <c r="AV128" s="71">
        <v>0.74284000000000006</v>
      </c>
      <c r="AW128" s="71">
        <v>0</v>
      </c>
      <c r="AX128" s="71">
        <v>0</v>
      </c>
      <c r="AY128" s="71">
        <v>0</v>
      </c>
      <c r="AZ128" s="19">
        <v>0.83</v>
      </c>
      <c r="BA128" s="65">
        <v>1.6</v>
      </c>
      <c r="BB128" s="29" t="b">
        <v>0</v>
      </c>
      <c r="BC128" s="29" t="b">
        <v>0</v>
      </c>
      <c r="BD128" s="29" t="s">
        <v>79</v>
      </c>
      <c r="BE128" s="29" t="b">
        <v>0</v>
      </c>
      <c r="BF128" s="29" t="b">
        <v>0</v>
      </c>
      <c r="BG128" s="62" t="b">
        <v>0</v>
      </c>
      <c r="BH128" s="30">
        <v>0.96599999999999997</v>
      </c>
      <c r="BI128" s="29" t="b">
        <v>0</v>
      </c>
      <c r="BJ128" s="62" t="s">
        <v>395</v>
      </c>
      <c r="BK128" s="29" t="b">
        <v>0</v>
      </c>
      <c r="BL128" s="29" t="b">
        <v>0</v>
      </c>
      <c r="BM128" s="29">
        <v>0</v>
      </c>
      <c r="BN128" s="29">
        <v>0</v>
      </c>
      <c r="BO128" s="29">
        <v>0</v>
      </c>
      <c r="BP128" s="29">
        <v>0</v>
      </c>
      <c r="BQ128" s="29" t="b">
        <v>0</v>
      </c>
      <c r="BR128" s="29">
        <v>0</v>
      </c>
      <c r="BS128" s="53">
        <v>0</v>
      </c>
      <c r="BT128" s="62" t="b">
        <v>0</v>
      </c>
      <c r="BU128" s="29" t="b">
        <v>0</v>
      </c>
      <c r="BV128" s="29" t="b">
        <v>0</v>
      </c>
      <c r="BW128" s="29" t="s">
        <v>79</v>
      </c>
      <c r="BX128" s="62" t="b">
        <v>0</v>
      </c>
      <c r="BY128" s="62" t="s">
        <v>431</v>
      </c>
    </row>
    <row r="129" spans="1:77" x14ac:dyDescent="0.2">
      <c r="A129" s="18" t="s">
        <v>843</v>
      </c>
      <c r="B129" s="133" t="s">
        <v>844</v>
      </c>
      <c r="C129" s="17" t="s">
        <v>122</v>
      </c>
      <c r="D129" s="164" t="s">
        <v>282</v>
      </c>
      <c r="E129" s="164" t="s">
        <v>612</v>
      </c>
      <c r="F129" s="63" t="s">
        <v>22</v>
      </c>
      <c r="G129" s="19" t="s">
        <v>376</v>
      </c>
      <c r="H129" s="29" t="b">
        <v>0</v>
      </c>
      <c r="I129" s="37" t="s">
        <v>79</v>
      </c>
      <c r="J129" s="17" t="s">
        <v>79</v>
      </c>
      <c r="K129" s="29" t="b">
        <v>0</v>
      </c>
      <c r="L129" s="70">
        <v>0</v>
      </c>
      <c r="M129" s="19">
        <v>100</v>
      </c>
      <c r="N129" s="29">
        <v>0</v>
      </c>
      <c r="O129" s="29">
        <v>0</v>
      </c>
      <c r="P129" s="29">
        <v>0</v>
      </c>
      <c r="Q129" s="29">
        <v>0</v>
      </c>
      <c r="R129" s="31">
        <v>0.96599999999999997</v>
      </c>
      <c r="S129" s="31">
        <v>0.39</v>
      </c>
      <c r="T129" s="72">
        <v>3.4000000000000002E-2</v>
      </c>
      <c r="U129" s="29">
        <v>0</v>
      </c>
      <c r="V129" s="29">
        <v>0</v>
      </c>
      <c r="W129" s="75">
        <v>1</v>
      </c>
      <c r="X129" s="29">
        <v>0</v>
      </c>
      <c r="Y129" s="29">
        <v>0</v>
      </c>
      <c r="Z129" s="29">
        <v>0</v>
      </c>
      <c r="AA129" s="29">
        <v>0</v>
      </c>
      <c r="AB129" s="134">
        <v>31.232099999999999</v>
      </c>
      <c r="AC129" s="134">
        <v>2.7448999999999999</v>
      </c>
      <c r="AD129" s="29" t="s">
        <v>568</v>
      </c>
      <c r="AE129" s="53">
        <v>3.2841</v>
      </c>
      <c r="AF129" s="53">
        <v>139.29750000000001</v>
      </c>
      <c r="AG129" s="53">
        <v>139.29750000000001</v>
      </c>
      <c r="AH129" s="31">
        <v>0.3</v>
      </c>
      <c r="AI129" s="31">
        <v>0.24</v>
      </c>
      <c r="AJ129" s="29">
        <v>0.18</v>
      </c>
      <c r="AK129" s="29">
        <v>0.15</v>
      </c>
      <c r="AL129" s="62">
        <v>24</v>
      </c>
      <c r="AM129" s="135">
        <v>15</v>
      </c>
      <c r="AN129" s="31">
        <v>0.14000000000000001</v>
      </c>
      <c r="AO129" s="31">
        <v>1</v>
      </c>
      <c r="AP129" s="31">
        <v>1</v>
      </c>
      <c r="AQ129" s="31">
        <v>0.70000000000000007</v>
      </c>
      <c r="AR129" s="31">
        <v>1</v>
      </c>
      <c r="AS129" s="130">
        <v>53.06</v>
      </c>
      <c r="AT129" s="29">
        <v>0</v>
      </c>
      <c r="AU129" s="29">
        <v>0</v>
      </c>
      <c r="AV129" s="71">
        <v>0.79590000000000005</v>
      </c>
      <c r="AW129" s="71">
        <v>0</v>
      </c>
      <c r="AX129" s="71">
        <v>0</v>
      </c>
      <c r="AY129" s="71">
        <v>0</v>
      </c>
      <c r="AZ129" s="19">
        <v>0.83</v>
      </c>
      <c r="BA129" s="65">
        <v>1.6</v>
      </c>
      <c r="BB129" s="29" t="b">
        <v>0</v>
      </c>
      <c r="BC129" s="29" t="b">
        <v>0</v>
      </c>
      <c r="BD129" s="29" t="s">
        <v>79</v>
      </c>
      <c r="BE129" s="29" t="b">
        <v>0</v>
      </c>
      <c r="BF129" s="29" t="b">
        <v>0</v>
      </c>
      <c r="BG129" s="62" t="b">
        <v>0</v>
      </c>
      <c r="BH129" s="30">
        <v>0.96599999999999997</v>
      </c>
      <c r="BI129" s="29" t="b">
        <v>0</v>
      </c>
      <c r="BJ129" s="62" t="s">
        <v>395</v>
      </c>
      <c r="BK129" s="29" t="b">
        <v>0</v>
      </c>
      <c r="BL129" s="29" t="b">
        <v>0</v>
      </c>
      <c r="BM129" s="29">
        <v>0</v>
      </c>
      <c r="BN129" s="29">
        <v>0</v>
      </c>
      <c r="BO129" s="29">
        <v>0</v>
      </c>
      <c r="BP129" s="29">
        <v>0</v>
      </c>
      <c r="BQ129" s="29" t="b">
        <v>0</v>
      </c>
      <c r="BR129" s="29">
        <v>0</v>
      </c>
      <c r="BS129" s="53">
        <v>0</v>
      </c>
      <c r="BT129" s="62" t="b">
        <v>0</v>
      </c>
      <c r="BU129" s="29" t="b">
        <v>0</v>
      </c>
      <c r="BV129" s="29" t="b">
        <v>0</v>
      </c>
      <c r="BW129" s="29" t="s">
        <v>79</v>
      </c>
      <c r="BX129" s="62" t="b">
        <v>0</v>
      </c>
      <c r="BY129" s="62" t="s">
        <v>431</v>
      </c>
    </row>
    <row r="130" spans="1:77" x14ac:dyDescent="0.2">
      <c r="A130" s="18" t="s">
        <v>845</v>
      </c>
      <c r="B130" s="133" t="s">
        <v>846</v>
      </c>
      <c r="C130" s="17" t="s">
        <v>122</v>
      </c>
      <c r="D130" s="164" t="s">
        <v>282</v>
      </c>
      <c r="E130" s="164" t="s">
        <v>612</v>
      </c>
      <c r="F130" s="63" t="s">
        <v>22</v>
      </c>
      <c r="G130" s="19" t="s">
        <v>376</v>
      </c>
      <c r="H130" s="29" t="b">
        <v>0</v>
      </c>
      <c r="I130" s="37" t="s">
        <v>79</v>
      </c>
      <c r="J130" s="17" t="s">
        <v>79</v>
      </c>
      <c r="K130" s="29" t="b">
        <v>0</v>
      </c>
      <c r="L130" s="70">
        <v>0</v>
      </c>
      <c r="M130" s="19">
        <v>100</v>
      </c>
      <c r="N130" s="29">
        <v>0</v>
      </c>
      <c r="O130" s="29">
        <v>0</v>
      </c>
      <c r="P130" s="29">
        <v>0</v>
      </c>
      <c r="Q130" s="29">
        <v>0</v>
      </c>
      <c r="R130" s="31">
        <v>0.96599999999999997</v>
      </c>
      <c r="S130" s="31">
        <v>0.39</v>
      </c>
      <c r="T130" s="72">
        <v>3.4000000000000002E-2</v>
      </c>
      <c r="U130" s="29">
        <v>0</v>
      </c>
      <c r="V130" s="29">
        <v>0</v>
      </c>
      <c r="W130" s="75">
        <v>1</v>
      </c>
      <c r="X130" s="29">
        <v>0</v>
      </c>
      <c r="Y130" s="29">
        <v>0</v>
      </c>
      <c r="Z130" s="29">
        <v>0</v>
      </c>
      <c r="AA130" s="29">
        <v>0</v>
      </c>
      <c r="AB130" s="134">
        <v>42.680700000000002</v>
      </c>
      <c r="AC130" s="134">
        <v>11.0623</v>
      </c>
      <c r="AD130" s="29" t="s">
        <v>568</v>
      </c>
      <c r="AE130" s="53">
        <v>3.2841</v>
      </c>
      <c r="AF130" s="53">
        <v>139.29750000000001</v>
      </c>
      <c r="AG130" s="53">
        <v>139.29750000000001</v>
      </c>
      <c r="AH130" s="31">
        <v>0.3</v>
      </c>
      <c r="AI130" s="31">
        <v>0.24</v>
      </c>
      <c r="AJ130" s="29">
        <v>0.18</v>
      </c>
      <c r="AK130" s="29">
        <v>0.15</v>
      </c>
      <c r="AL130" s="62">
        <v>24</v>
      </c>
      <c r="AM130" s="135">
        <v>16</v>
      </c>
      <c r="AN130" s="31">
        <v>0.14000000000000001</v>
      </c>
      <c r="AO130" s="31">
        <v>1</v>
      </c>
      <c r="AP130" s="31">
        <v>1</v>
      </c>
      <c r="AQ130" s="31">
        <v>0.70000000000000007</v>
      </c>
      <c r="AR130" s="31">
        <v>1</v>
      </c>
      <c r="AS130" s="130">
        <v>53.06</v>
      </c>
      <c r="AT130" s="29">
        <v>0</v>
      </c>
      <c r="AU130" s="29">
        <v>0</v>
      </c>
      <c r="AV130" s="71">
        <v>0.84896000000000005</v>
      </c>
      <c r="AW130" s="71">
        <v>0</v>
      </c>
      <c r="AX130" s="71">
        <v>0</v>
      </c>
      <c r="AY130" s="71">
        <v>0</v>
      </c>
      <c r="AZ130" s="19">
        <v>0.83</v>
      </c>
      <c r="BA130" s="65">
        <v>1.6</v>
      </c>
      <c r="BB130" s="29" t="b">
        <v>0</v>
      </c>
      <c r="BC130" s="29" t="b">
        <v>0</v>
      </c>
      <c r="BD130" s="29" t="s">
        <v>79</v>
      </c>
      <c r="BE130" s="29" t="b">
        <v>0</v>
      </c>
      <c r="BF130" s="29" t="b">
        <v>0</v>
      </c>
      <c r="BG130" s="62" t="b">
        <v>0</v>
      </c>
      <c r="BH130" s="30">
        <v>0.96599999999999997</v>
      </c>
      <c r="BI130" s="29" t="b">
        <v>0</v>
      </c>
      <c r="BJ130" s="62" t="s">
        <v>395</v>
      </c>
      <c r="BK130" s="29" t="b">
        <v>0</v>
      </c>
      <c r="BL130" s="29" t="b">
        <v>0</v>
      </c>
      <c r="BM130" s="29">
        <v>0</v>
      </c>
      <c r="BN130" s="29">
        <v>0</v>
      </c>
      <c r="BO130" s="29">
        <v>0</v>
      </c>
      <c r="BP130" s="29">
        <v>0</v>
      </c>
      <c r="BQ130" s="29" t="b">
        <v>0</v>
      </c>
      <c r="BR130" s="29">
        <v>0</v>
      </c>
      <c r="BS130" s="53">
        <v>0</v>
      </c>
      <c r="BT130" s="62" t="b">
        <v>0</v>
      </c>
      <c r="BU130" s="29" t="b">
        <v>0</v>
      </c>
      <c r="BV130" s="29" t="b">
        <v>0</v>
      </c>
      <c r="BW130" s="29" t="s">
        <v>79</v>
      </c>
      <c r="BX130" s="62" t="b">
        <v>0</v>
      </c>
      <c r="BY130" s="62" t="s">
        <v>431</v>
      </c>
    </row>
    <row r="131" spans="1:77" x14ac:dyDescent="0.2">
      <c r="A131" s="18" t="s">
        <v>847</v>
      </c>
      <c r="B131" s="133" t="s">
        <v>848</v>
      </c>
      <c r="C131" s="17" t="s">
        <v>122</v>
      </c>
      <c r="D131" s="164" t="s">
        <v>282</v>
      </c>
      <c r="E131" s="164" t="s">
        <v>612</v>
      </c>
      <c r="F131" s="63" t="s">
        <v>22</v>
      </c>
      <c r="G131" s="19" t="s">
        <v>376</v>
      </c>
      <c r="H131" s="29" t="b">
        <v>0</v>
      </c>
      <c r="I131" s="37" t="s">
        <v>79</v>
      </c>
      <c r="J131" s="17" t="s">
        <v>79</v>
      </c>
      <c r="K131" s="29" t="b">
        <v>0</v>
      </c>
      <c r="L131" s="70">
        <v>0</v>
      </c>
      <c r="M131" s="19">
        <v>100</v>
      </c>
      <c r="N131" s="29">
        <v>0</v>
      </c>
      <c r="O131" s="29">
        <v>0</v>
      </c>
      <c r="P131" s="29">
        <v>0</v>
      </c>
      <c r="Q131" s="29">
        <v>0</v>
      </c>
      <c r="R131" s="31">
        <v>0.96599999999999997</v>
      </c>
      <c r="S131" s="31">
        <v>0.39</v>
      </c>
      <c r="T131" s="72">
        <v>3.4000000000000002E-2</v>
      </c>
      <c r="U131" s="29">
        <v>0</v>
      </c>
      <c r="V131" s="29">
        <v>0</v>
      </c>
      <c r="W131" s="75">
        <v>1</v>
      </c>
      <c r="X131" s="29">
        <v>0</v>
      </c>
      <c r="Y131" s="29">
        <v>0</v>
      </c>
      <c r="Z131" s="29">
        <v>0</v>
      </c>
      <c r="AA131" s="29">
        <v>0</v>
      </c>
      <c r="AB131" s="134">
        <v>33.374699999999997</v>
      </c>
      <c r="AC131" s="134">
        <v>17.003900000000002</v>
      </c>
      <c r="AD131" s="29" t="s">
        <v>568</v>
      </c>
      <c r="AE131" s="53">
        <v>3.2841</v>
      </c>
      <c r="AF131" s="53">
        <v>139.29750000000001</v>
      </c>
      <c r="AG131" s="53">
        <v>139.29750000000001</v>
      </c>
      <c r="AH131" s="31">
        <v>0.3</v>
      </c>
      <c r="AI131" s="31">
        <v>0.24</v>
      </c>
      <c r="AJ131" s="29">
        <v>0.18</v>
      </c>
      <c r="AK131" s="29">
        <v>0.15</v>
      </c>
      <c r="AL131" s="62">
        <v>24</v>
      </c>
      <c r="AM131" s="135">
        <v>17</v>
      </c>
      <c r="AN131" s="31">
        <v>0.14000000000000001</v>
      </c>
      <c r="AO131" s="31">
        <v>1</v>
      </c>
      <c r="AP131" s="31">
        <v>1</v>
      </c>
      <c r="AQ131" s="31">
        <v>0.70000000000000007</v>
      </c>
      <c r="AR131" s="31">
        <v>1</v>
      </c>
      <c r="AS131" s="130">
        <v>53.06</v>
      </c>
      <c r="AT131" s="29">
        <v>0</v>
      </c>
      <c r="AU131" s="29">
        <v>0</v>
      </c>
      <c r="AV131" s="71">
        <v>0.90201999999999993</v>
      </c>
      <c r="AW131" s="71">
        <v>0</v>
      </c>
      <c r="AX131" s="71">
        <v>0</v>
      </c>
      <c r="AY131" s="71">
        <v>0</v>
      </c>
      <c r="AZ131" s="19">
        <v>0.83</v>
      </c>
      <c r="BA131" s="65">
        <v>1.6</v>
      </c>
      <c r="BB131" s="29" t="b">
        <v>0</v>
      </c>
      <c r="BC131" s="29" t="b">
        <v>0</v>
      </c>
      <c r="BD131" s="29" t="s">
        <v>79</v>
      </c>
      <c r="BE131" s="29" t="b">
        <v>0</v>
      </c>
      <c r="BF131" s="29" t="b">
        <v>0</v>
      </c>
      <c r="BG131" s="62" t="b">
        <v>0</v>
      </c>
      <c r="BH131" s="30">
        <v>0.96599999999999997</v>
      </c>
      <c r="BI131" s="29" t="b">
        <v>0</v>
      </c>
      <c r="BJ131" s="62" t="s">
        <v>395</v>
      </c>
      <c r="BK131" s="29" t="b">
        <v>0</v>
      </c>
      <c r="BL131" s="29" t="b">
        <v>0</v>
      </c>
      <c r="BM131" s="29">
        <v>0</v>
      </c>
      <c r="BN131" s="29">
        <v>0</v>
      </c>
      <c r="BO131" s="29">
        <v>0</v>
      </c>
      <c r="BP131" s="29">
        <v>0</v>
      </c>
      <c r="BQ131" s="29" t="b">
        <v>0</v>
      </c>
      <c r="BR131" s="29">
        <v>0</v>
      </c>
      <c r="BS131" s="53">
        <v>0</v>
      </c>
      <c r="BT131" s="62" t="b">
        <v>0</v>
      </c>
      <c r="BU131" s="29" t="b">
        <v>0</v>
      </c>
      <c r="BV131" s="29" t="b">
        <v>0</v>
      </c>
      <c r="BW131" s="29" t="s">
        <v>79</v>
      </c>
      <c r="BX131" s="62" t="b">
        <v>0</v>
      </c>
      <c r="BY131" s="62" t="s">
        <v>431</v>
      </c>
    </row>
    <row r="132" spans="1:77" x14ac:dyDescent="0.2">
      <c r="A132" s="18" t="s">
        <v>849</v>
      </c>
      <c r="B132" s="133" t="s">
        <v>850</v>
      </c>
      <c r="C132" s="17" t="s">
        <v>122</v>
      </c>
      <c r="D132" s="164" t="s">
        <v>282</v>
      </c>
      <c r="E132" s="164" t="s">
        <v>612</v>
      </c>
      <c r="F132" s="63" t="s">
        <v>22</v>
      </c>
      <c r="G132" s="19" t="s">
        <v>376</v>
      </c>
      <c r="H132" s="29" t="b">
        <v>1</v>
      </c>
      <c r="I132" s="37" t="s">
        <v>79</v>
      </c>
      <c r="J132" s="17" t="s">
        <v>79</v>
      </c>
      <c r="K132" s="29" t="b">
        <v>0</v>
      </c>
      <c r="L132" s="70">
        <v>0</v>
      </c>
      <c r="M132" s="19">
        <v>500</v>
      </c>
      <c r="N132" s="29">
        <v>0</v>
      </c>
      <c r="O132" s="29">
        <v>0</v>
      </c>
      <c r="P132" s="29">
        <v>0</v>
      </c>
      <c r="Q132" s="29">
        <v>0</v>
      </c>
      <c r="R132" s="31">
        <v>0.96799999999999997</v>
      </c>
      <c r="S132" s="31">
        <v>0.33</v>
      </c>
      <c r="T132" s="72">
        <v>3.2000000000000001E-2</v>
      </c>
      <c r="U132" s="69">
        <v>0</v>
      </c>
      <c r="V132" s="29">
        <v>0</v>
      </c>
      <c r="W132" s="75">
        <v>1</v>
      </c>
      <c r="X132" s="29">
        <v>0</v>
      </c>
      <c r="Y132" s="29">
        <v>0</v>
      </c>
      <c r="Z132" s="29">
        <v>0</v>
      </c>
      <c r="AA132" s="29">
        <v>0</v>
      </c>
      <c r="AB132" s="134">
        <v>27.622199999999999</v>
      </c>
      <c r="AC132" s="134">
        <v>1.1865000000000001</v>
      </c>
      <c r="AD132" s="29" t="s">
        <v>568</v>
      </c>
      <c r="AE132" s="53">
        <v>3.5424000000000002</v>
      </c>
      <c r="AF132" s="53">
        <v>139.29750000000001</v>
      </c>
      <c r="AG132" s="53">
        <v>139.29750000000001</v>
      </c>
      <c r="AH132" s="31">
        <v>0.3</v>
      </c>
      <c r="AI132" s="31">
        <v>0.24</v>
      </c>
      <c r="AJ132" s="29">
        <v>0.18</v>
      </c>
      <c r="AK132" s="29">
        <v>0.15</v>
      </c>
      <c r="AL132" s="62">
        <v>50</v>
      </c>
      <c r="AM132" s="135">
        <v>10</v>
      </c>
      <c r="AN132" s="31">
        <v>7.0000000000000001E-3</v>
      </c>
      <c r="AO132" s="31">
        <v>7.0000000000000007E-2</v>
      </c>
      <c r="AP132" s="31">
        <v>7.0000000000000007E-2</v>
      </c>
      <c r="AQ132" s="31">
        <v>3.5000000000000003E-2</v>
      </c>
      <c r="AR132" s="31">
        <v>7.0000000000000007E-2</v>
      </c>
      <c r="AS132" s="130">
        <v>53.06</v>
      </c>
      <c r="AT132" s="29">
        <v>0</v>
      </c>
      <c r="AU132" s="29">
        <v>0</v>
      </c>
      <c r="AV132" s="71">
        <v>0.53060000000000007</v>
      </c>
      <c r="AW132" s="71">
        <v>0</v>
      </c>
      <c r="AX132" s="71">
        <v>0</v>
      </c>
      <c r="AY132" s="71">
        <v>0</v>
      </c>
      <c r="AZ132" s="19">
        <v>0.87</v>
      </c>
      <c r="BA132" s="65">
        <v>5.29</v>
      </c>
      <c r="BB132" s="29" t="b">
        <v>0</v>
      </c>
      <c r="BC132" s="29" t="b">
        <v>0</v>
      </c>
      <c r="BD132" s="29" t="s">
        <v>79</v>
      </c>
      <c r="BE132" s="29" t="b">
        <v>0</v>
      </c>
      <c r="BF132" s="29" t="b">
        <v>0</v>
      </c>
      <c r="BG132" s="62" t="b">
        <v>0</v>
      </c>
      <c r="BH132" s="30">
        <v>0.96799999999999997</v>
      </c>
      <c r="BI132" s="29" t="b">
        <v>0</v>
      </c>
      <c r="BJ132" s="62" t="s">
        <v>392</v>
      </c>
      <c r="BK132" s="29" t="b">
        <v>0</v>
      </c>
      <c r="BL132" s="29" t="b">
        <v>0</v>
      </c>
      <c r="BM132" s="29">
        <v>0</v>
      </c>
      <c r="BN132" s="29">
        <v>0</v>
      </c>
      <c r="BO132" s="29">
        <v>0</v>
      </c>
      <c r="BP132" s="29">
        <v>0</v>
      </c>
      <c r="BQ132" s="29" t="b">
        <v>0</v>
      </c>
      <c r="BR132" s="29">
        <v>0</v>
      </c>
      <c r="BS132" s="53">
        <v>0</v>
      </c>
      <c r="BT132" s="62" t="b">
        <v>0</v>
      </c>
      <c r="BU132" s="29" t="b">
        <v>0</v>
      </c>
      <c r="BV132" s="29" t="b">
        <v>0</v>
      </c>
      <c r="BW132" s="29" t="s">
        <v>79</v>
      </c>
      <c r="BX132" s="62" t="b">
        <v>0</v>
      </c>
      <c r="BY132" s="62" t="s">
        <v>431</v>
      </c>
    </row>
    <row r="133" spans="1:77" x14ac:dyDescent="0.2">
      <c r="A133" s="18" t="s">
        <v>851</v>
      </c>
      <c r="B133" s="133" t="s">
        <v>852</v>
      </c>
      <c r="C133" s="17" t="s">
        <v>122</v>
      </c>
      <c r="D133" s="164" t="s">
        <v>282</v>
      </c>
      <c r="E133" s="164" t="s">
        <v>612</v>
      </c>
      <c r="F133" s="63" t="s">
        <v>22</v>
      </c>
      <c r="G133" s="19" t="s">
        <v>376</v>
      </c>
      <c r="H133" s="29" t="b">
        <v>1</v>
      </c>
      <c r="I133" s="37" t="s">
        <v>79</v>
      </c>
      <c r="J133" s="17" t="s">
        <v>79</v>
      </c>
      <c r="K133" s="29" t="b">
        <v>0</v>
      </c>
      <c r="L133" s="70">
        <v>0</v>
      </c>
      <c r="M133" s="19">
        <v>500</v>
      </c>
      <c r="N133" s="29">
        <v>0</v>
      </c>
      <c r="O133" s="29">
        <v>0</v>
      </c>
      <c r="P133" s="29">
        <v>0</v>
      </c>
      <c r="Q133" s="29">
        <v>0</v>
      </c>
      <c r="R133" s="31">
        <v>0.96799999999999997</v>
      </c>
      <c r="S133" s="31">
        <v>0.33</v>
      </c>
      <c r="T133" s="72">
        <v>3.2000000000000001E-2</v>
      </c>
      <c r="U133" s="69">
        <v>0</v>
      </c>
      <c r="V133" s="29">
        <v>0</v>
      </c>
      <c r="W133" s="75">
        <v>1</v>
      </c>
      <c r="X133" s="29">
        <v>0</v>
      </c>
      <c r="Y133" s="29">
        <v>0</v>
      </c>
      <c r="Z133" s="29">
        <v>0</v>
      </c>
      <c r="AA133" s="29">
        <v>0</v>
      </c>
      <c r="AB133" s="134">
        <v>16.642900000000001</v>
      </c>
      <c r="AC133" s="134">
        <v>0.99509999999999998</v>
      </c>
      <c r="AD133" s="29" t="s">
        <v>568</v>
      </c>
      <c r="AE133" s="53">
        <v>3.5424000000000002</v>
      </c>
      <c r="AF133" s="53">
        <v>139.29750000000001</v>
      </c>
      <c r="AG133" s="53">
        <v>139.29750000000001</v>
      </c>
      <c r="AH133" s="31">
        <v>0.3</v>
      </c>
      <c r="AI133" s="31">
        <v>0.24</v>
      </c>
      <c r="AJ133" s="29">
        <v>0.18</v>
      </c>
      <c r="AK133" s="29">
        <v>0.15</v>
      </c>
      <c r="AL133" s="62">
        <v>50</v>
      </c>
      <c r="AM133" s="135">
        <v>11</v>
      </c>
      <c r="AN133" s="31">
        <v>7.0000000000000001E-3</v>
      </c>
      <c r="AO133" s="31">
        <v>7.0000000000000007E-2</v>
      </c>
      <c r="AP133" s="31">
        <v>7.0000000000000007E-2</v>
      </c>
      <c r="AQ133" s="31">
        <v>3.5000000000000003E-2</v>
      </c>
      <c r="AR133" s="31">
        <v>7.0000000000000007E-2</v>
      </c>
      <c r="AS133" s="130">
        <v>53.06</v>
      </c>
      <c r="AT133" s="29">
        <v>0</v>
      </c>
      <c r="AU133" s="29">
        <v>0</v>
      </c>
      <c r="AV133" s="71">
        <v>0.58366000000000007</v>
      </c>
      <c r="AW133" s="71">
        <v>0</v>
      </c>
      <c r="AX133" s="71">
        <v>0</v>
      </c>
      <c r="AY133" s="71">
        <v>0</v>
      </c>
      <c r="AZ133" s="19">
        <v>0.87</v>
      </c>
      <c r="BA133" s="65">
        <v>5.29</v>
      </c>
      <c r="BB133" s="29" t="b">
        <v>0</v>
      </c>
      <c r="BC133" s="29" t="b">
        <v>0</v>
      </c>
      <c r="BD133" s="29" t="s">
        <v>79</v>
      </c>
      <c r="BE133" s="29" t="b">
        <v>0</v>
      </c>
      <c r="BF133" s="29" t="b">
        <v>0</v>
      </c>
      <c r="BG133" s="62" t="b">
        <v>0</v>
      </c>
      <c r="BH133" s="30">
        <v>0.96799999999999997</v>
      </c>
      <c r="BI133" s="29" t="b">
        <v>0</v>
      </c>
      <c r="BJ133" s="62" t="s">
        <v>392</v>
      </c>
      <c r="BK133" s="29" t="b">
        <v>0</v>
      </c>
      <c r="BL133" s="29" t="b">
        <v>0</v>
      </c>
      <c r="BM133" s="29">
        <v>0</v>
      </c>
      <c r="BN133" s="29">
        <v>0</v>
      </c>
      <c r="BO133" s="29">
        <v>0</v>
      </c>
      <c r="BP133" s="29">
        <v>0</v>
      </c>
      <c r="BQ133" s="29" t="b">
        <v>0</v>
      </c>
      <c r="BR133" s="29">
        <v>0</v>
      </c>
      <c r="BS133" s="53">
        <v>0</v>
      </c>
      <c r="BT133" s="62" t="b">
        <v>0</v>
      </c>
      <c r="BU133" s="29" t="b">
        <v>0</v>
      </c>
      <c r="BV133" s="29" t="b">
        <v>0</v>
      </c>
      <c r="BW133" s="29" t="s">
        <v>79</v>
      </c>
      <c r="BX133" s="62" t="b">
        <v>0</v>
      </c>
      <c r="BY133" s="62" t="s">
        <v>431</v>
      </c>
    </row>
    <row r="134" spans="1:77" x14ac:dyDescent="0.2">
      <c r="A134" s="18" t="s">
        <v>853</v>
      </c>
      <c r="B134" s="133" t="s">
        <v>854</v>
      </c>
      <c r="C134" s="17" t="s">
        <v>122</v>
      </c>
      <c r="D134" s="164" t="s">
        <v>282</v>
      </c>
      <c r="E134" s="164" t="s">
        <v>612</v>
      </c>
      <c r="F134" s="63" t="s">
        <v>22</v>
      </c>
      <c r="G134" s="19" t="s">
        <v>376</v>
      </c>
      <c r="H134" s="29" t="b">
        <v>1</v>
      </c>
      <c r="I134" s="37" t="s">
        <v>79</v>
      </c>
      <c r="J134" s="17" t="s">
        <v>79</v>
      </c>
      <c r="K134" s="29" t="b">
        <v>0</v>
      </c>
      <c r="L134" s="70">
        <v>0</v>
      </c>
      <c r="M134" s="19">
        <v>500</v>
      </c>
      <c r="N134" s="29">
        <v>0</v>
      </c>
      <c r="O134" s="29">
        <v>0</v>
      </c>
      <c r="P134" s="29">
        <v>0</v>
      </c>
      <c r="Q134" s="29">
        <v>0</v>
      </c>
      <c r="R134" s="31">
        <v>0.96799999999999997</v>
      </c>
      <c r="S134" s="31">
        <v>0.33</v>
      </c>
      <c r="T134" s="72">
        <v>3.2000000000000001E-2</v>
      </c>
      <c r="U134" s="69">
        <v>0</v>
      </c>
      <c r="V134" s="29">
        <v>0</v>
      </c>
      <c r="W134" s="75">
        <v>1</v>
      </c>
      <c r="X134" s="29">
        <v>0</v>
      </c>
      <c r="Y134" s="29">
        <v>0</v>
      </c>
      <c r="Z134" s="29">
        <v>0</v>
      </c>
      <c r="AA134" s="29">
        <v>0</v>
      </c>
      <c r="AB134" s="134">
        <v>20.2211</v>
      </c>
      <c r="AC134" s="134">
        <v>0.82489999999999997</v>
      </c>
      <c r="AD134" s="29" t="s">
        <v>568</v>
      </c>
      <c r="AE134" s="53">
        <v>3.5424000000000002</v>
      </c>
      <c r="AF134" s="53">
        <v>139.29750000000001</v>
      </c>
      <c r="AG134" s="53">
        <v>139.29750000000001</v>
      </c>
      <c r="AH134" s="31">
        <v>0.3</v>
      </c>
      <c r="AI134" s="31">
        <v>0.24</v>
      </c>
      <c r="AJ134" s="29">
        <v>0.18</v>
      </c>
      <c r="AK134" s="29">
        <v>0.15</v>
      </c>
      <c r="AL134" s="62">
        <v>50</v>
      </c>
      <c r="AM134" s="135">
        <v>12</v>
      </c>
      <c r="AN134" s="31">
        <v>7.0000000000000001E-3</v>
      </c>
      <c r="AO134" s="31">
        <v>7.0000000000000007E-2</v>
      </c>
      <c r="AP134" s="31">
        <v>7.0000000000000007E-2</v>
      </c>
      <c r="AQ134" s="31">
        <v>3.5000000000000003E-2</v>
      </c>
      <c r="AR134" s="31">
        <v>7.0000000000000007E-2</v>
      </c>
      <c r="AS134" s="130">
        <v>53.06</v>
      </c>
      <c r="AT134" s="29">
        <v>0</v>
      </c>
      <c r="AU134" s="29">
        <v>0</v>
      </c>
      <c r="AV134" s="71">
        <v>0.63672000000000006</v>
      </c>
      <c r="AW134" s="71">
        <v>0</v>
      </c>
      <c r="AX134" s="71">
        <v>0</v>
      </c>
      <c r="AY134" s="71">
        <v>0</v>
      </c>
      <c r="AZ134" s="19">
        <v>0.87</v>
      </c>
      <c r="BA134" s="65">
        <v>5.29</v>
      </c>
      <c r="BB134" s="29" t="b">
        <v>0</v>
      </c>
      <c r="BC134" s="29" t="b">
        <v>0</v>
      </c>
      <c r="BD134" s="29" t="s">
        <v>79</v>
      </c>
      <c r="BE134" s="29" t="b">
        <v>0</v>
      </c>
      <c r="BF134" s="29" t="b">
        <v>0</v>
      </c>
      <c r="BG134" s="62" t="b">
        <v>0</v>
      </c>
      <c r="BH134" s="30">
        <v>0.96799999999999997</v>
      </c>
      <c r="BI134" s="29" t="b">
        <v>0</v>
      </c>
      <c r="BJ134" s="62" t="s">
        <v>392</v>
      </c>
      <c r="BK134" s="29" t="b">
        <v>0</v>
      </c>
      <c r="BL134" s="29" t="b">
        <v>0</v>
      </c>
      <c r="BM134" s="29">
        <v>0</v>
      </c>
      <c r="BN134" s="29">
        <v>0</v>
      </c>
      <c r="BO134" s="29">
        <v>0</v>
      </c>
      <c r="BP134" s="29">
        <v>0</v>
      </c>
      <c r="BQ134" s="29" t="b">
        <v>0</v>
      </c>
      <c r="BR134" s="29">
        <v>0</v>
      </c>
      <c r="BS134" s="53">
        <v>0</v>
      </c>
      <c r="BT134" s="62" t="b">
        <v>0</v>
      </c>
      <c r="BU134" s="29" t="b">
        <v>0</v>
      </c>
      <c r="BV134" s="29" t="b">
        <v>0</v>
      </c>
      <c r="BW134" s="29" t="s">
        <v>79</v>
      </c>
      <c r="BX134" s="62" t="b">
        <v>0</v>
      </c>
      <c r="BY134" s="62" t="s">
        <v>431</v>
      </c>
    </row>
    <row r="135" spans="1:77" x14ac:dyDescent="0.2">
      <c r="A135" s="18" t="s">
        <v>855</v>
      </c>
      <c r="B135" s="133" t="s">
        <v>856</v>
      </c>
      <c r="C135" s="17" t="s">
        <v>122</v>
      </c>
      <c r="D135" s="164" t="s">
        <v>282</v>
      </c>
      <c r="E135" s="164" t="s">
        <v>612</v>
      </c>
      <c r="F135" s="63" t="s">
        <v>22</v>
      </c>
      <c r="G135" s="19" t="s">
        <v>376</v>
      </c>
      <c r="H135" s="29" t="b">
        <v>1</v>
      </c>
      <c r="I135" s="37" t="s">
        <v>79</v>
      </c>
      <c r="J135" s="17" t="s">
        <v>79</v>
      </c>
      <c r="K135" s="29" t="b">
        <v>0</v>
      </c>
      <c r="L135" s="70">
        <v>0</v>
      </c>
      <c r="M135" s="19">
        <v>500</v>
      </c>
      <c r="N135" s="29">
        <v>0</v>
      </c>
      <c r="O135" s="29">
        <v>0</v>
      </c>
      <c r="P135" s="29">
        <v>0</v>
      </c>
      <c r="Q135" s="29">
        <v>0</v>
      </c>
      <c r="R135" s="31">
        <v>0.96799999999999997</v>
      </c>
      <c r="S135" s="31">
        <v>0.33</v>
      </c>
      <c r="T135" s="72">
        <v>3.2000000000000001E-2</v>
      </c>
      <c r="U135" s="69">
        <v>0</v>
      </c>
      <c r="V135" s="29">
        <v>0</v>
      </c>
      <c r="W135" s="75">
        <v>1</v>
      </c>
      <c r="X135" s="29">
        <v>0</v>
      </c>
      <c r="Y135" s="29">
        <v>0</v>
      </c>
      <c r="Z135" s="29">
        <v>0</v>
      </c>
      <c r="AA135" s="29">
        <v>0</v>
      </c>
      <c r="AB135" s="134">
        <v>16.6266</v>
      </c>
      <c r="AC135" s="134">
        <v>0.49330000000000002</v>
      </c>
      <c r="AD135" s="29" t="s">
        <v>568</v>
      </c>
      <c r="AE135" s="53">
        <v>3.5424000000000002</v>
      </c>
      <c r="AF135" s="53">
        <v>139.29750000000001</v>
      </c>
      <c r="AG135" s="53">
        <v>139.29750000000001</v>
      </c>
      <c r="AH135" s="31">
        <v>0.3</v>
      </c>
      <c r="AI135" s="31">
        <v>0.24</v>
      </c>
      <c r="AJ135" s="29">
        <v>0.18</v>
      </c>
      <c r="AK135" s="29">
        <v>0.15</v>
      </c>
      <c r="AL135" s="62">
        <v>50</v>
      </c>
      <c r="AM135" s="135">
        <v>13</v>
      </c>
      <c r="AN135" s="31">
        <v>7.0000000000000001E-3</v>
      </c>
      <c r="AO135" s="31">
        <v>7.0000000000000007E-2</v>
      </c>
      <c r="AP135" s="31">
        <v>7.0000000000000007E-2</v>
      </c>
      <c r="AQ135" s="31">
        <v>3.5000000000000003E-2</v>
      </c>
      <c r="AR135" s="31">
        <v>7.0000000000000007E-2</v>
      </c>
      <c r="AS135" s="130">
        <v>53.06</v>
      </c>
      <c r="AT135" s="29">
        <v>0</v>
      </c>
      <c r="AU135" s="29">
        <v>0</v>
      </c>
      <c r="AV135" s="71">
        <v>0.68977999999999995</v>
      </c>
      <c r="AW135" s="71">
        <v>0</v>
      </c>
      <c r="AX135" s="71">
        <v>0</v>
      </c>
      <c r="AY135" s="71">
        <v>0</v>
      </c>
      <c r="AZ135" s="19">
        <v>0.87</v>
      </c>
      <c r="BA135" s="65">
        <v>5.29</v>
      </c>
      <c r="BB135" s="29" t="b">
        <v>0</v>
      </c>
      <c r="BC135" s="29" t="b">
        <v>0</v>
      </c>
      <c r="BD135" s="29" t="s">
        <v>79</v>
      </c>
      <c r="BE135" s="29" t="b">
        <v>0</v>
      </c>
      <c r="BF135" s="29" t="b">
        <v>0</v>
      </c>
      <c r="BG135" s="62" t="b">
        <v>0</v>
      </c>
      <c r="BH135" s="30">
        <v>0.96799999999999997</v>
      </c>
      <c r="BI135" s="29" t="b">
        <v>0</v>
      </c>
      <c r="BJ135" s="62" t="s">
        <v>392</v>
      </c>
      <c r="BK135" s="29" t="b">
        <v>0</v>
      </c>
      <c r="BL135" s="29" t="b">
        <v>0</v>
      </c>
      <c r="BM135" s="29">
        <v>0</v>
      </c>
      <c r="BN135" s="29">
        <v>0</v>
      </c>
      <c r="BO135" s="29">
        <v>0</v>
      </c>
      <c r="BP135" s="29">
        <v>0</v>
      </c>
      <c r="BQ135" s="29" t="b">
        <v>0</v>
      </c>
      <c r="BR135" s="29">
        <v>0</v>
      </c>
      <c r="BS135" s="53">
        <v>0</v>
      </c>
      <c r="BT135" s="62" t="b">
        <v>0</v>
      </c>
      <c r="BU135" s="29" t="b">
        <v>0</v>
      </c>
      <c r="BV135" s="29" t="b">
        <v>0</v>
      </c>
      <c r="BW135" s="29" t="s">
        <v>79</v>
      </c>
      <c r="BX135" s="62" t="b">
        <v>0</v>
      </c>
      <c r="BY135" s="62" t="s">
        <v>431</v>
      </c>
    </row>
    <row r="136" spans="1:77" x14ac:dyDescent="0.2">
      <c r="A136" s="18" t="s">
        <v>857</v>
      </c>
      <c r="B136" s="133" t="s">
        <v>858</v>
      </c>
      <c r="C136" s="17" t="s">
        <v>122</v>
      </c>
      <c r="D136" s="164" t="s">
        <v>282</v>
      </c>
      <c r="E136" s="164" t="s">
        <v>612</v>
      </c>
      <c r="F136" s="63" t="s">
        <v>22</v>
      </c>
      <c r="G136" s="19" t="s">
        <v>376</v>
      </c>
      <c r="H136" s="29" t="b">
        <v>1</v>
      </c>
      <c r="I136" s="37" t="s">
        <v>79</v>
      </c>
      <c r="J136" s="17" t="s">
        <v>79</v>
      </c>
      <c r="K136" s="29" t="b">
        <v>0</v>
      </c>
      <c r="L136" s="70">
        <v>0</v>
      </c>
      <c r="M136" s="19">
        <v>500</v>
      </c>
      <c r="N136" s="29">
        <v>0</v>
      </c>
      <c r="O136" s="29">
        <v>0</v>
      </c>
      <c r="P136" s="29">
        <v>0</v>
      </c>
      <c r="Q136" s="29">
        <v>0</v>
      </c>
      <c r="R136" s="31">
        <v>0.96799999999999997</v>
      </c>
      <c r="S136" s="31">
        <v>0.33</v>
      </c>
      <c r="T136" s="72">
        <v>3.2000000000000001E-2</v>
      </c>
      <c r="U136" s="69">
        <v>0</v>
      </c>
      <c r="V136" s="29">
        <v>0</v>
      </c>
      <c r="W136" s="75">
        <v>1</v>
      </c>
      <c r="X136" s="29">
        <v>0</v>
      </c>
      <c r="Y136" s="29">
        <v>0</v>
      </c>
      <c r="Z136" s="29">
        <v>0</v>
      </c>
      <c r="AA136" s="29">
        <v>0</v>
      </c>
      <c r="AB136" s="134">
        <v>18.484300000000001</v>
      </c>
      <c r="AC136" s="134">
        <v>0.51680000000000004</v>
      </c>
      <c r="AD136" s="29" t="s">
        <v>568</v>
      </c>
      <c r="AE136" s="53">
        <v>3.5424000000000002</v>
      </c>
      <c r="AF136" s="53">
        <v>139.29750000000001</v>
      </c>
      <c r="AG136" s="53">
        <v>139.29750000000001</v>
      </c>
      <c r="AH136" s="31">
        <v>0.3</v>
      </c>
      <c r="AI136" s="31">
        <v>0.24</v>
      </c>
      <c r="AJ136" s="29">
        <v>0.18</v>
      </c>
      <c r="AK136" s="29">
        <v>0.15</v>
      </c>
      <c r="AL136" s="62">
        <v>50</v>
      </c>
      <c r="AM136" s="135">
        <v>14</v>
      </c>
      <c r="AN136" s="31">
        <v>7.0000000000000001E-3</v>
      </c>
      <c r="AO136" s="31">
        <v>7.0000000000000007E-2</v>
      </c>
      <c r="AP136" s="31">
        <v>7.0000000000000007E-2</v>
      </c>
      <c r="AQ136" s="31">
        <v>3.5000000000000003E-2</v>
      </c>
      <c r="AR136" s="31">
        <v>7.0000000000000007E-2</v>
      </c>
      <c r="AS136" s="130">
        <v>53.06</v>
      </c>
      <c r="AT136" s="29">
        <v>0</v>
      </c>
      <c r="AU136" s="29">
        <v>0</v>
      </c>
      <c r="AV136" s="71">
        <v>0.74284000000000006</v>
      </c>
      <c r="AW136" s="71">
        <v>0</v>
      </c>
      <c r="AX136" s="71">
        <v>0</v>
      </c>
      <c r="AY136" s="71">
        <v>0</v>
      </c>
      <c r="AZ136" s="19">
        <v>0.87</v>
      </c>
      <c r="BA136" s="65">
        <v>5.29</v>
      </c>
      <c r="BB136" s="29" t="b">
        <v>0</v>
      </c>
      <c r="BC136" s="29" t="b">
        <v>0</v>
      </c>
      <c r="BD136" s="29" t="s">
        <v>79</v>
      </c>
      <c r="BE136" s="29" t="b">
        <v>0</v>
      </c>
      <c r="BF136" s="29" t="b">
        <v>0</v>
      </c>
      <c r="BG136" s="62" t="b">
        <v>0</v>
      </c>
      <c r="BH136" s="30">
        <v>0.96799999999999997</v>
      </c>
      <c r="BI136" s="29" t="b">
        <v>0</v>
      </c>
      <c r="BJ136" s="62" t="s">
        <v>392</v>
      </c>
      <c r="BK136" s="29" t="b">
        <v>0</v>
      </c>
      <c r="BL136" s="29" t="b">
        <v>0</v>
      </c>
      <c r="BM136" s="29">
        <v>0</v>
      </c>
      <c r="BN136" s="29">
        <v>0</v>
      </c>
      <c r="BO136" s="29">
        <v>0</v>
      </c>
      <c r="BP136" s="29">
        <v>0</v>
      </c>
      <c r="BQ136" s="29" t="b">
        <v>0</v>
      </c>
      <c r="BR136" s="29">
        <v>0</v>
      </c>
      <c r="BS136" s="53">
        <v>0</v>
      </c>
      <c r="BT136" s="62" t="b">
        <v>0</v>
      </c>
      <c r="BU136" s="29" t="b">
        <v>0</v>
      </c>
      <c r="BV136" s="29" t="b">
        <v>0</v>
      </c>
      <c r="BW136" s="29" t="s">
        <v>79</v>
      </c>
      <c r="BX136" s="62" t="b">
        <v>0</v>
      </c>
      <c r="BY136" s="62" t="s">
        <v>431</v>
      </c>
    </row>
    <row r="137" spans="1:77" x14ac:dyDescent="0.2">
      <c r="A137" s="18" t="s">
        <v>859</v>
      </c>
      <c r="B137" s="133" t="s">
        <v>860</v>
      </c>
      <c r="C137" s="17" t="s">
        <v>122</v>
      </c>
      <c r="D137" s="164" t="s">
        <v>282</v>
      </c>
      <c r="E137" s="164" t="s">
        <v>612</v>
      </c>
      <c r="F137" s="63" t="s">
        <v>22</v>
      </c>
      <c r="G137" s="19" t="s">
        <v>376</v>
      </c>
      <c r="H137" s="29" t="b">
        <v>1</v>
      </c>
      <c r="I137" s="37" t="s">
        <v>79</v>
      </c>
      <c r="J137" s="17" t="s">
        <v>79</v>
      </c>
      <c r="K137" s="29" t="b">
        <v>0</v>
      </c>
      <c r="L137" s="70">
        <v>0</v>
      </c>
      <c r="M137" s="19">
        <v>500</v>
      </c>
      <c r="N137" s="29">
        <v>0</v>
      </c>
      <c r="O137" s="29">
        <v>0</v>
      </c>
      <c r="P137" s="29">
        <v>0</v>
      </c>
      <c r="Q137" s="29">
        <v>0</v>
      </c>
      <c r="R137" s="31">
        <v>0.96799999999999997</v>
      </c>
      <c r="S137" s="31">
        <v>0.33</v>
      </c>
      <c r="T137" s="72">
        <v>3.2000000000000001E-2</v>
      </c>
      <c r="U137" s="69">
        <v>0</v>
      </c>
      <c r="V137" s="29">
        <v>0</v>
      </c>
      <c r="W137" s="75">
        <v>1</v>
      </c>
      <c r="X137" s="29">
        <v>0</v>
      </c>
      <c r="Y137" s="29">
        <v>0</v>
      </c>
      <c r="Z137" s="29">
        <v>0</v>
      </c>
      <c r="AA137" s="29">
        <v>0</v>
      </c>
      <c r="AB137" s="134">
        <v>26.578099999999999</v>
      </c>
      <c r="AC137" s="134">
        <v>0.89780000000000004</v>
      </c>
      <c r="AD137" s="29" t="s">
        <v>568</v>
      </c>
      <c r="AE137" s="53">
        <v>3.5424000000000002</v>
      </c>
      <c r="AF137" s="53">
        <v>139.29750000000001</v>
      </c>
      <c r="AG137" s="53">
        <v>139.29750000000001</v>
      </c>
      <c r="AH137" s="31">
        <v>0.3</v>
      </c>
      <c r="AI137" s="31">
        <v>0.24</v>
      </c>
      <c r="AJ137" s="29">
        <v>0.18</v>
      </c>
      <c r="AK137" s="29">
        <v>0.15</v>
      </c>
      <c r="AL137" s="62">
        <v>50</v>
      </c>
      <c r="AM137" s="135">
        <v>15</v>
      </c>
      <c r="AN137" s="31">
        <v>7.0000000000000001E-3</v>
      </c>
      <c r="AO137" s="31">
        <v>7.0000000000000007E-2</v>
      </c>
      <c r="AP137" s="31">
        <v>7.0000000000000007E-2</v>
      </c>
      <c r="AQ137" s="31">
        <v>3.5000000000000003E-2</v>
      </c>
      <c r="AR137" s="31">
        <v>7.0000000000000007E-2</v>
      </c>
      <c r="AS137" s="130">
        <v>53.06</v>
      </c>
      <c r="AT137" s="29">
        <v>0</v>
      </c>
      <c r="AU137" s="29">
        <v>0</v>
      </c>
      <c r="AV137" s="71">
        <v>0.79590000000000005</v>
      </c>
      <c r="AW137" s="71">
        <v>0</v>
      </c>
      <c r="AX137" s="71">
        <v>0</v>
      </c>
      <c r="AY137" s="71">
        <v>0</v>
      </c>
      <c r="AZ137" s="19">
        <v>0.87</v>
      </c>
      <c r="BA137" s="65">
        <v>5.29</v>
      </c>
      <c r="BB137" s="29" t="b">
        <v>0</v>
      </c>
      <c r="BC137" s="29" t="b">
        <v>0</v>
      </c>
      <c r="BD137" s="29" t="s">
        <v>79</v>
      </c>
      <c r="BE137" s="29" t="b">
        <v>0</v>
      </c>
      <c r="BF137" s="29" t="b">
        <v>0</v>
      </c>
      <c r="BG137" s="62" t="b">
        <v>0</v>
      </c>
      <c r="BH137" s="30">
        <v>0.96799999999999997</v>
      </c>
      <c r="BI137" s="29" t="b">
        <v>0</v>
      </c>
      <c r="BJ137" s="62" t="s">
        <v>392</v>
      </c>
      <c r="BK137" s="29" t="b">
        <v>0</v>
      </c>
      <c r="BL137" s="29" t="b">
        <v>0</v>
      </c>
      <c r="BM137" s="29">
        <v>0</v>
      </c>
      <c r="BN137" s="29">
        <v>0</v>
      </c>
      <c r="BO137" s="29">
        <v>0</v>
      </c>
      <c r="BP137" s="29">
        <v>0</v>
      </c>
      <c r="BQ137" s="29" t="b">
        <v>0</v>
      </c>
      <c r="BR137" s="29">
        <v>0</v>
      </c>
      <c r="BS137" s="53">
        <v>0</v>
      </c>
      <c r="BT137" s="62" t="b">
        <v>0</v>
      </c>
      <c r="BU137" s="29" t="b">
        <v>0</v>
      </c>
      <c r="BV137" s="29" t="b">
        <v>0</v>
      </c>
      <c r="BW137" s="29" t="s">
        <v>79</v>
      </c>
      <c r="BX137" s="62" t="b">
        <v>0</v>
      </c>
      <c r="BY137" s="62" t="s">
        <v>431</v>
      </c>
    </row>
    <row r="138" spans="1:77" x14ac:dyDescent="0.2">
      <c r="A138" s="18" t="s">
        <v>861</v>
      </c>
      <c r="B138" s="133" t="s">
        <v>862</v>
      </c>
      <c r="C138" s="17" t="s">
        <v>122</v>
      </c>
      <c r="D138" s="164" t="s">
        <v>282</v>
      </c>
      <c r="E138" s="164" t="s">
        <v>612</v>
      </c>
      <c r="F138" s="63" t="s">
        <v>22</v>
      </c>
      <c r="G138" s="19" t="s">
        <v>376</v>
      </c>
      <c r="H138" s="29" t="b">
        <v>1</v>
      </c>
      <c r="I138" s="37" t="s">
        <v>79</v>
      </c>
      <c r="J138" s="17" t="s">
        <v>79</v>
      </c>
      <c r="K138" s="29" t="b">
        <v>0</v>
      </c>
      <c r="L138" s="70">
        <v>0</v>
      </c>
      <c r="M138" s="19">
        <v>500</v>
      </c>
      <c r="N138" s="29">
        <v>0</v>
      </c>
      <c r="O138" s="29">
        <v>0</v>
      </c>
      <c r="P138" s="29">
        <v>0</v>
      </c>
      <c r="Q138" s="29">
        <v>0</v>
      </c>
      <c r="R138" s="31">
        <v>0.96799999999999997</v>
      </c>
      <c r="S138" s="31">
        <v>0.33</v>
      </c>
      <c r="T138" s="72">
        <v>3.2000000000000001E-2</v>
      </c>
      <c r="U138" s="69">
        <v>0</v>
      </c>
      <c r="V138" s="29">
        <v>0</v>
      </c>
      <c r="W138" s="75">
        <v>1</v>
      </c>
      <c r="X138" s="29">
        <v>0</v>
      </c>
      <c r="Y138" s="29">
        <v>0</v>
      </c>
      <c r="Z138" s="29">
        <v>0</v>
      </c>
      <c r="AA138" s="29">
        <v>0</v>
      </c>
      <c r="AB138" s="134">
        <v>36.875900000000001</v>
      </c>
      <c r="AC138" s="134">
        <v>2.6549</v>
      </c>
      <c r="AD138" s="29" t="s">
        <v>568</v>
      </c>
      <c r="AE138" s="53">
        <v>3.5424000000000002</v>
      </c>
      <c r="AF138" s="53">
        <v>139.29750000000001</v>
      </c>
      <c r="AG138" s="53">
        <v>139.29750000000001</v>
      </c>
      <c r="AH138" s="31">
        <v>0.3</v>
      </c>
      <c r="AI138" s="31">
        <v>0.24</v>
      </c>
      <c r="AJ138" s="29">
        <v>0.18</v>
      </c>
      <c r="AK138" s="29">
        <v>0.15</v>
      </c>
      <c r="AL138" s="62">
        <v>50</v>
      </c>
      <c r="AM138" s="135">
        <v>16</v>
      </c>
      <c r="AN138" s="31">
        <v>7.0000000000000001E-3</v>
      </c>
      <c r="AO138" s="31">
        <v>7.0000000000000007E-2</v>
      </c>
      <c r="AP138" s="31">
        <v>7.0000000000000007E-2</v>
      </c>
      <c r="AQ138" s="31">
        <v>3.5000000000000003E-2</v>
      </c>
      <c r="AR138" s="31">
        <v>7.0000000000000007E-2</v>
      </c>
      <c r="AS138" s="130">
        <v>53.06</v>
      </c>
      <c r="AT138" s="29">
        <v>0</v>
      </c>
      <c r="AU138" s="29">
        <v>0</v>
      </c>
      <c r="AV138" s="71">
        <v>0.84896000000000005</v>
      </c>
      <c r="AW138" s="71">
        <v>0</v>
      </c>
      <c r="AX138" s="71">
        <v>0</v>
      </c>
      <c r="AY138" s="71">
        <v>0</v>
      </c>
      <c r="AZ138" s="19">
        <v>0.87</v>
      </c>
      <c r="BA138" s="65">
        <v>5.29</v>
      </c>
      <c r="BB138" s="29" t="b">
        <v>0</v>
      </c>
      <c r="BC138" s="29" t="b">
        <v>0</v>
      </c>
      <c r="BD138" s="29" t="s">
        <v>79</v>
      </c>
      <c r="BE138" s="29" t="b">
        <v>0</v>
      </c>
      <c r="BF138" s="29" t="b">
        <v>0</v>
      </c>
      <c r="BG138" s="62" t="b">
        <v>0</v>
      </c>
      <c r="BH138" s="30">
        <v>0.96799999999999997</v>
      </c>
      <c r="BI138" s="29" t="b">
        <v>0</v>
      </c>
      <c r="BJ138" s="62" t="s">
        <v>392</v>
      </c>
      <c r="BK138" s="29" t="b">
        <v>0</v>
      </c>
      <c r="BL138" s="29" t="b">
        <v>0</v>
      </c>
      <c r="BM138" s="29">
        <v>0</v>
      </c>
      <c r="BN138" s="29">
        <v>0</v>
      </c>
      <c r="BO138" s="29">
        <v>0</v>
      </c>
      <c r="BP138" s="29">
        <v>0</v>
      </c>
      <c r="BQ138" s="29" t="b">
        <v>0</v>
      </c>
      <c r="BR138" s="29">
        <v>0</v>
      </c>
      <c r="BS138" s="53">
        <v>0</v>
      </c>
      <c r="BT138" s="62" t="b">
        <v>0</v>
      </c>
      <c r="BU138" s="29" t="b">
        <v>0</v>
      </c>
      <c r="BV138" s="29" t="b">
        <v>0</v>
      </c>
      <c r="BW138" s="29" t="s">
        <v>79</v>
      </c>
      <c r="BX138" s="62" t="b">
        <v>0</v>
      </c>
      <c r="BY138" s="62" t="s">
        <v>431</v>
      </c>
    </row>
    <row r="139" spans="1:77" x14ac:dyDescent="0.2">
      <c r="A139" s="18" t="s">
        <v>863</v>
      </c>
      <c r="B139" s="133" t="s">
        <v>864</v>
      </c>
      <c r="C139" s="17" t="s">
        <v>122</v>
      </c>
      <c r="D139" s="164" t="s">
        <v>282</v>
      </c>
      <c r="E139" s="164" t="s">
        <v>612</v>
      </c>
      <c r="F139" s="63" t="s">
        <v>22</v>
      </c>
      <c r="G139" s="19" t="s">
        <v>376</v>
      </c>
      <c r="H139" s="29" t="b">
        <v>1</v>
      </c>
      <c r="I139" s="37" t="s">
        <v>79</v>
      </c>
      <c r="J139" s="17" t="s">
        <v>79</v>
      </c>
      <c r="K139" s="29" t="b">
        <v>0</v>
      </c>
      <c r="L139" s="70">
        <v>0</v>
      </c>
      <c r="M139" s="19">
        <v>500</v>
      </c>
      <c r="N139" s="29">
        <v>0</v>
      </c>
      <c r="O139" s="29">
        <v>0</v>
      </c>
      <c r="P139" s="29">
        <v>0</v>
      </c>
      <c r="Q139" s="29">
        <v>0</v>
      </c>
      <c r="R139" s="31">
        <v>0.96599999999999997</v>
      </c>
      <c r="S139" s="31">
        <v>0.33</v>
      </c>
      <c r="T139" s="72">
        <v>3.4000000000000002E-2</v>
      </c>
      <c r="U139" s="69">
        <v>0</v>
      </c>
      <c r="V139" s="29">
        <v>0</v>
      </c>
      <c r="W139" s="75">
        <v>1</v>
      </c>
      <c r="X139" s="29">
        <v>0</v>
      </c>
      <c r="Y139" s="29">
        <v>0</v>
      </c>
      <c r="Z139" s="29">
        <v>0</v>
      </c>
      <c r="AA139" s="29">
        <v>0</v>
      </c>
      <c r="AB139" s="134">
        <v>27.694199999999999</v>
      </c>
      <c r="AC139" s="134">
        <v>1.1129</v>
      </c>
      <c r="AD139" s="29" t="s">
        <v>568</v>
      </c>
      <c r="AE139" s="53">
        <v>3.5424000000000002</v>
      </c>
      <c r="AF139" s="53">
        <v>139.29750000000001</v>
      </c>
      <c r="AG139" s="53">
        <v>139.29750000000001</v>
      </c>
      <c r="AH139" s="31">
        <v>0.3</v>
      </c>
      <c r="AI139" s="31">
        <v>0.24</v>
      </c>
      <c r="AJ139" s="29">
        <v>0.18</v>
      </c>
      <c r="AK139" s="29">
        <v>0.15</v>
      </c>
      <c r="AL139" s="62">
        <v>24</v>
      </c>
      <c r="AM139" s="135">
        <v>17</v>
      </c>
      <c r="AN139" s="31">
        <v>7.0000000000000001E-3</v>
      </c>
      <c r="AO139" s="31">
        <v>7.0000000000000007E-2</v>
      </c>
      <c r="AP139" s="31">
        <v>7.0000000000000007E-2</v>
      </c>
      <c r="AQ139" s="31">
        <v>3.5000000000000003E-2</v>
      </c>
      <c r="AR139" s="31">
        <v>7.0000000000000007E-2</v>
      </c>
      <c r="AS139" s="130">
        <v>53.06</v>
      </c>
      <c r="AT139" s="29">
        <v>0</v>
      </c>
      <c r="AU139" s="29">
        <v>0</v>
      </c>
      <c r="AV139" s="71">
        <v>0.90201999999999993</v>
      </c>
      <c r="AW139" s="71">
        <v>0</v>
      </c>
      <c r="AX139" s="71">
        <v>0</v>
      </c>
      <c r="AY139" s="71">
        <v>0</v>
      </c>
      <c r="AZ139" s="19">
        <v>0.83</v>
      </c>
      <c r="BA139" s="65">
        <v>1.6</v>
      </c>
      <c r="BB139" s="29" t="b">
        <v>0</v>
      </c>
      <c r="BC139" s="29" t="b">
        <v>0</v>
      </c>
      <c r="BD139" s="29" t="s">
        <v>79</v>
      </c>
      <c r="BE139" s="29" t="b">
        <v>0</v>
      </c>
      <c r="BF139" s="29" t="b">
        <v>0</v>
      </c>
      <c r="BG139" s="62" t="b">
        <v>0</v>
      </c>
      <c r="BH139" s="30">
        <v>0.96599999999999997</v>
      </c>
      <c r="BI139" s="29" t="b">
        <v>0</v>
      </c>
      <c r="BJ139" s="62" t="s">
        <v>395</v>
      </c>
      <c r="BK139" s="29" t="b">
        <v>0</v>
      </c>
      <c r="BL139" s="29" t="b">
        <v>0</v>
      </c>
      <c r="BM139" s="29">
        <v>0</v>
      </c>
      <c r="BN139" s="29">
        <v>0</v>
      </c>
      <c r="BO139" s="29">
        <v>0</v>
      </c>
      <c r="BP139" s="29">
        <v>0</v>
      </c>
      <c r="BQ139" s="29" t="b">
        <v>0</v>
      </c>
      <c r="BR139" s="29">
        <v>0</v>
      </c>
      <c r="BS139" s="53">
        <v>0</v>
      </c>
      <c r="BT139" s="62" t="b">
        <v>0</v>
      </c>
      <c r="BU139" s="29" t="b">
        <v>0</v>
      </c>
      <c r="BV139" s="29" t="b">
        <v>0</v>
      </c>
      <c r="BW139" s="29" t="s">
        <v>79</v>
      </c>
      <c r="BX139" s="62" t="b">
        <v>0</v>
      </c>
      <c r="BY139" s="62" t="s">
        <v>431</v>
      </c>
    </row>
    <row r="140" spans="1:77" x14ac:dyDescent="0.2">
      <c r="A140" s="18" t="s">
        <v>865</v>
      </c>
      <c r="B140" s="133" t="s">
        <v>866</v>
      </c>
      <c r="C140" s="17" t="s">
        <v>122</v>
      </c>
      <c r="D140" s="164" t="s">
        <v>282</v>
      </c>
      <c r="E140" s="164" t="s">
        <v>612</v>
      </c>
      <c r="F140" s="63" t="s">
        <v>22</v>
      </c>
      <c r="G140" s="19" t="s">
        <v>376</v>
      </c>
      <c r="H140" s="29" t="b">
        <v>1</v>
      </c>
      <c r="I140" s="37" t="s">
        <v>79</v>
      </c>
      <c r="J140" s="17" t="s">
        <v>79</v>
      </c>
      <c r="K140" s="29" t="b">
        <v>0</v>
      </c>
      <c r="L140" s="70">
        <v>0</v>
      </c>
      <c r="M140" s="19">
        <v>500</v>
      </c>
      <c r="N140" s="29">
        <v>0</v>
      </c>
      <c r="O140" s="29">
        <v>0</v>
      </c>
      <c r="P140" s="29">
        <v>0</v>
      </c>
      <c r="Q140" s="29">
        <v>0</v>
      </c>
      <c r="R140" s="31">
        <v>0.96599999999999997</v>
      </c>
      <c r="S140" s="31">
        <v>0.33</v>
      </c>
      <c r="T140" s="72">
        <v>3.4000000000000002E-2</v>
      </c>
      <c r="U140" s="69">
        <v>0</v>
      </c>
      <c r="V140" s="29">
        <v>0</v>
      </c>
      <c r="W140" s="75">
        <v>1</v>
      </c>
      <c r="X140" s="29">
        <v>0</v>
      </c>
      <c r="Y140" s="29">
        <v>0</v>
      </c>
      <c r="Z140" s="29">
        <v>0</v>
      </c>
      <c r="AA140" s="29">
        <v>0</v>
      </c>
      <c r="AB140" s="134">
        <v>18.537099999999999</v>
      </c>
      <c r="AC140" s="134">
        <v>0.51829999999999998</v>
      </c>
      <c r="AD140" s="29" t="s">
        <v>568</v>
      </c>
      <c r="AE140" s="53">
        <v>3.5424000000000002</v>
      </c>
      <c r="AF140" s="53">
        <v>139.29750000000001</v>
      </c>
      <c r="AG140" s="53">
        <v>139.29750000000001</v>
      </c>
      <c r="AH140" s="31">
        <v>0.3</v>
      </c>
      <c r="AI140" s="31">
        <v>0.24</v>
      </c>
      <c r="AJ140" s="29">
        <v>0.18</v>
      </c>
      <c r="AK140" s="29">
        <v>0.15</v>
      </c>
      <c r="AL140" s="62">
        <v>24</v>
      </c>
      <c r="AM140" s="135">
        <v>18</v>
      </c>
      <c r="AN140" s="31">
        <v>7.0000000000000001E-3</v>
      </c>
      <c r="AO140" s="31">
        <v>7.0000000000000007E-2</v>
      </c>
      <c r="AP140" s="31">
        <v>7.0000000000000007E-2</v>
      </c>
      <c r="AQ140" s="31">
        <v>3.5000000000000003E-2</v>
      </c>
      <c r="AR140" s="31">
        <v>7.0000000000000007E-2</v>
      </c>
      <c r="AS140" s="130">
        <v>53.06</v>
      </c>
      <c r="AT140" s="29">
        <v>0</v>
      </c>
      <c r="AU140" s="29">
        <v>0</v>
      </c>
      <c r="AV140" s="71">
        <v>0.95508000000000004</v>
      </c>
      <c r="AW140" s="71">
        <v>0</v>
      </c>
      <c r="AX140" s="71">
        <v>0</v>
      </c>
      <c r="AY140" s="71">
        <v>0</v>
      </c>
      <c r="AZ140" s="19">
        <v>0.83</v>
      </c>
      <c r="BA140" s="65">
        <v>1.6</v>
      </c>
      <c r="BB140" s="29" t="b">
        <v>0</v>
      </c>
      <c r="BC140" s="29" t="b">
        <v>0</v>
      </c>
      <c r="BD140" s="29" t="s">
        <v>79</v>
      </c>
      <c r="BE140" s="29" t="b">
        <v>0</v>
      </c>
      <c r="BF140" s="29" t="b">
        <v>0</v>
      </c>
      <c r="BG140" s="62" t="b">
        <v>0</v>
      </c>
      <c r="BH140" s="30">
        <v>0.96599999999999997</v>
      </c>
      <c r="BI140" s="29" t="b">
        <v>0</v>
      </c>
      <c r="BJ140" s="62" t="s">
        <v>395</v>
      </c>
      <c r="BK140" s="29" t="b">
        <v>0</v>
      </c>
      <c r="BL140" s="29" t="b">
        <v>0</v>
      </c>
      <c r="BM140" s="29">
        <v>0</v>
      </c>
      <c r="BN140" s="29">
        <v>0</v>
      </c>
      <c r="BO140" s="29">
        <v>0</v>
      </c>
      <c r="BP140" s="29">
        <v>0</v>
      </c>
      <c r="BQ140" s="29" t="b">
        <v>0</v>
      </c>
      <c r="BR140" s="29">
        <v>0</v>
      </c>
      <c r="BS140" s="53">
        <v>0</v>
      </c>
      <c r="BT140" s="62" t="b">
        <v>0</v>
      </c>
      <c r="BU140" s="29" t="b">
        <v>0</v>
      </c>
      <c r="BV140" s="29" t="b">
        <v>0</v>
      </c>
      <c r="BW140" s="29" t="s">
        <v>79</v>
      </c>
      <c r="BX140" s="62" t="b">
        <v>0</v>
      </c>
      <c r="BY140" s="62" t="s">
        <v>431</v>
      </c>
    </row>
    <row r="141" spans="1:77" x14ac:dyDescent="0.2">
      <c r="A141" s="18" t="s">
        <v>867</v>
      </c>
      <c r="B141" s="133" t="s">
        <v>868</v>
      </c>
      <c r="C141" s="17" t="s">
        <v>122</v>
      </c>
      <c r="D141" s="164" t="s">
        <v>282</v>
      </c>
      <c r="E141" s="164" t="s">
        <v>612</v>
      </c>
      <c r="F141" s="63" t="s">
        <v>22</v>
      </c>
      <c r="G141" s="19" t="s">
        <v>376</v>
      </c>
      <c r="H141" s="29" t="b">
        <v>1</v>
      </c>
      <c r="I141" s="37" t="s">
        <v>79</v>
      </c>
      <c r="J141" s="17" t="s">
        <v>79</v>
      </c>
      <c r="K141" s="29" t="b">
        <v>0</v>
      </c>
      <c r="L141" s="70">
        <v>0</v>
      </c>
      <c r="M141" s="19">
        <v>500</v>
      </c>
      <c r="N141" s="29">
        <v>0</v>
      </c>
      <c r="O141" s="29">
        <v>0</v>
      </c>
      <c r="P141" s="29">
        <v>0</v>
      </c>
      <c r="Q141" s="29">
        <v>0</v>
      </c>
      <c r="R141" s="31">
        <v>0.96599999999999997</v>
      </c>
      <c r="S141" s="31">
        <v>0.33</v>
      </c>
      <c r="T141" s="72">
        <v>3.4000000000000002E-2</v>
      </c>
      <c r="U141" s="69">
        <v>0</v>
      </c>
      <c r="V141" s="29">
        <v>0</v>
      </c>
      <c r="W141" s="75">
        <v>1</v>
      </c>
      <c r="X141" s="29">
        <v>0</v>
      </c>
      <c r="Y141" s="29">
        <v>0</v>
      </c>
      <c r="Z141" s="29">
        <v>0</v>
      </c>
      <c r="AA141" s="29">
        <v>0</v>
      </c>
      <c r="AB141" s="134">
        <v>32.149900000000002</v>
      </c>
      <c r="AC141" s="134">
        <v>4.8686999999999996</v>
      </c>
      <c r="AD141" s="29" t="s">
        <v>568</v>
      </c>
      <c r="AE141" s="53">
        <v>3.5424000000000002</v>
      </c>
      <c r="AF141" s="53">
        <v>139.29750000000001</v>
      </c>
      <c r="AG141" s="53">
        <v>139.29750000000001</v>
      </c>
      <c r="AH141" s="31">
        <v>0.3</v>
      </c>
      <c r="AI141" s="31">
        <v>0.24</v>
      </c>
      <c r="AJ141" s="29">
        <v>0.18</v>
      </c>
      <c r="AK141" s="29">
        <v>0.15</v>
      </c>
      <c r="AL141" s="62">
        <v>24</v>
      </c>
      <c r="AM141" s="135">
        <v>19</v>
      </c>
      <c r="AN141" s="31">
        <v>7.0000000000000001E-3</v>
      </c>
      <c r="AO141" s="31">
        <v>7.0000000000000007E-2</v>
      </c>
      <c r="AP141" s="31">
        <v>7.0000000000000007E-2</v>
      </c>
      <c r="AQ141" s="31">
        <v>3.5000000000000003E-2</v>
      </c>
      <c r="AR141" s="31">
        <v>7.0000000000000007E-2</v>
      </c>
      <c r="AS141" s="130">
        <v>53.06</v>
      </c>
      <c r="AT141" s="29">
        <v>0</v>
      </c>
      <c r="AU141" s="29">
        <v>0</v>
      </c>
      <c r="AV141" s="71">
        <v>1.00814</v>
      </c>
      <c r="AW141" s="71">
        <v>0</v>
      </c>
      <c r="AX141" s="71">
        <v>0</v>
      </c>
      <c r="AY141" s="71">
        <v>0</v>
      </c>
      <c r="AZ141" s="19">
        <v>0.83</v>
      </c>
      <c r="BA141" s="65">
        <v>1.6</v>
      </c>
      <c r="BB141" s="29" t="b">
        <v>0</v>
      </c>
      <c r="BC141" s="29" t="b">
        <v>0</v>
      </c>
      <c r="BD141" s="29" t="s">
        <v>79</v>
      </c>
      <c r="BE141" s="29" t="b">
        <v>0</v>
      </c>
      <c r="BF141" s="29" t="b">
        <v>0</v>
      </c>
      <c r="BG141" s="62" t="b">
        <v>0</v>
      </c>
      <c r="BH141" s="30">
        <v>0.96599999999999997</v>
      </c>
      <c r="BI141" s="29" t="b">
        <v>0</v>
      </c>
      <c r="BJ141" s="62" t="s">
        <v>395</v>
      </c>
      <c r="BK141" s="29" t="b">
        <v>0</v>
      </c>
      <c r="BL141" s="29" t="b">
        <v>0</v>
      </c>
      <c r="BM141" s="29">
        <v>0</v>
      </c>
      <c r="BN141" s="29">
        <v>0</v>
      </c>
      <c r="BO141" s="29">
        <v>0</v>
      </c>
      <c r="BP141" s="29">
        <v>0</v>
      </c>
      <c r="BQ141" s="29" t="b">
        <v>0</v>
      </c>
      <c r="BR141" s="29">
        <v>0</v>
      </c>
      <c r="BS141" s="53">
        <v>0</v>
      </c>
      <c r="BT141" s="62" t="b">
        <v>0</v>
      </c>
      <c r="BU141" s="29" t="b">
        <v>0</v>
      </c>
      <c r="BV141" s="29" t="b">
        <v>0</v>
      </c>
      <c r="BW141" s="29" t="s">
        <v>79</v>
      </c>
      <c r="BX141" s="62" t="b">
        <v>0</v>
      </c>
      <c r="BY141" s="62" t="s">
        <v>431</v>
      </c>
    </row>
    <row r="142" spans="1:77" x14ac:dyDescent="0.2">
      <c r="A142" s="18" t="s">
        <v>869</v>
      </c>
      <c r="B142" s="133" t="s">
        <v>870</v>
      </c>
      <c r="C142" s="17" t="s">
        <v>76</v>
      </c>
      <c r="D142" s="164" t="s">
        <v>25</v>
      </c>
      <c r="E142" s="164" t="s">
        <v>25</v>
      </c>
      <c r="F142" s="63" t="s">
        <v>605</v>
      </c>
      <c r="G142" s="19" t="s">
        <v>376</v>
      </c>
      <c r="H142" s="29" t="b">
        <v>0</v>
      </c>
      <c r="I142" s="37" t="s">
        <v>79</v>
      </c>
      <c r="J142" s="17" t="s">
        <v>79</v>
      </c>
      <c r="K142" s="29" t="b">
        <v>1</v>
      </c>
      <c r="L142" s="70">
        <v>0.9</v>
      </c>
      <c r="M142" s="19">
        <v>1200</v>
      </c>
      <c r="N142" s="29">
        <v>0</v>
      </c>
      <c r="O142" s="29">
        <v>0</v>
      </c>
      <c r="P142" s="29">
        <v>0</v>
      </c>
      <c r="Q142" s="29">
        <v>0</v>
      </c>
      <c r="R142" s="31">
        <v>0.97</v>
      </c>
      <c r="S142" s="31">
        <v>0.97</v>
      </c>
      <c r="T142" s="72">
        <v>0.03</v>
      </c>
      <c r="U142" s="29">
        <v>0</v>
      </c>
      <c r="V142" s="29">
        <v>0</v>
      </c>
      <c r="W142" s="75">
        <v>1</v>
      </c>
      <c r="X142" s="29">
        <v>0</v>
      </c>
      <c r="Y142" s="29">
        <v>0</v>
      </c>
      <c r="Z142" s="29">
        <v>0</v>
      </c>
      <c r="AA142" s="29">
        <v>0</v>
      </c>
      <c r="AB142" s="134">
        <v>130.17769999999999</v>
      </c>
      <c r="AC142" s="134">
        <v>0.26860000000000001</v>
      </c>
      <c r="AD142" s="29" t="s">
        <v>568</v>
      </c>
      <c r="AE142" s="53">
        <v>0</v>
      </c>
      <c r="AF142" s="53">
        <v>83.052199999999999</v>
      </c>
      <c r="AG142" s="53">
        <v>83.052199999999999</v>
      </c>
      <c r="AH142" s="31">
        <v>0.3</v>
      </c>
      <c r="AI142" s="31">
        <v>0.24</v>
      </c>
      <c r="AJ142" s="29">
        <v>0.18</v>
      </c>
      <c r="AK142" s="29">
        <v>0.15</v>
      </c>
      <c r="AL142" s="62">
        <v>55</v>
      </c>
      <c r="AM142" s="135">
        <v>10.4</v>
      </c>
      <c r="AN142" s="31">
        <v>5.9999999999999995E-4</v>
      </c>
      <c r="AO142" s="31">
        <v>5.9999999999999993E-3</v>
      </c>
      <c r="AP142" s="31">
        <v>5.9999999999999993E-3</v>
      </c>
      <c r="AQ142" s="31">
        <v>3.0000000000000001E-3</v>
      </c>
      <c r="AR142" s="31">
        <v>5.9999999999999993E-3</v>
      </c>
      <c r="AS142" s="130">
        <v>0</v>
      </c>
      <c r="AT142" s="29">
        <v>0</v>
      </c>
      <c r="AU142" s="29">
        <v>0</v>
      </c>
      <c r="AV142" s="71">
        <v>0</v>
      </c>
      <c r="AW142" s="71">
        <v>0</v>
      </c>
      <c r="AX142" s="71">
        <v>0</v>
      </c>
      <c r="AY142" s="71">
        <v>0</v>
      </c>
      <c r="AZ142" s="19">
        <v>0.91</v>
      </c>
      <c r="BA142" s="65">
        <v>4.07</v>
      </c>
      <c r="BB142" s="29" t="b">
        <v>0</v>
      </c>
      <c r="BC142" s="29" t="b">
        <v>0</v>
      </c>
      <c r="BD142" s="29" t="s">
        <v>79</v>
      </c>
      <c r="BE142" s="29" t="b">
        <v>1</v>
      </c>
      <c r="BF142" s="29" t="b">
        <v>0</v>
      </c>
      <c r="BG142" s="62" t="b">
        <v>0</v>
      </c>
      <c r="BH142" s="30">
        <v>0.97</v>
      </c>
      <c r="BI142" s="29" t="b">
        <v>0</v>
      </c>
      <c r="BJ142" s="62" t="s">
        <v>25</v>
      </c>
      <c r="BK142" s="29" t="b">
        <v>0</v>
      </c>
      <c r="BL142" s="29" t="b">
        <v>0</v>
      </c>
      <c r="BM142" s="29">
        <v>0</v>
      </c>
      <c r="BN142" s="29">
        <v>0</v>
      </c>
      <c r="BO142" s="29">
        <v>0</v>
      </c>
      <c r="BP142" s="29">
        <v>0</v>
      </c>
      <c r="BQ142" s="29" t="b">
        <v>0</v>
      </c>
      <c r="BR142" s="29">
        <v>0</v>
      </c>
      <c r="BS142" s="53">
        <v>0</v>
      </c>
      <c r="BT142" s="62" t="b">
        <v>0</v>
      </c>
      <c r="BU142" s="29" t="b">
        <v>0</v>
      </c>
      <c r="BV142" s="29" t="b">
        <v>0</v>
      </c>
      <c r="BW142" s="29" t="s">
        <v>79</v>
      </c>
      <c r="BX142" s="62" t="b">
        <v>0</v>
      </c>
      <c r="BY142" s="62" t="s">
        <v>431</v>
      </c>
    </row>
    <row r="143" spans="1:77" x14ac:dyDescent="0.2">
      <c r="A143" s="18" t="s">
        <v>871</v>
      </c>
      <c r="B143" s="133" t="s">
        <v>872</v>
      </c>
      <c r="C143" s="17" t="s">
        <v>76</v>
      </c>
      <c r="D143" s="164" t="s">
        <v>25</v>
      </c>
      <c r="E143" s="164" t="s">
        <v>25</v>
      </c>
      <c r="F143" s="63" t="s">
        <v>605</v>
      </c>
      <c r="G143" s="19" t="s">
        <v>376</v>
      </c>
      <c r="H143" s="29" t="b">
        <v>1</v>
      </c>
      <c r="I143" s="37" t="s">
        <v>79</v>
      </c>
      <c r="J143" s="17" t="s">
        <v>79</v>
      </c>
      <c r="K143" s="29" t="b">
        <v>1</v>
      </c>
      <c r="L143" s="70">
        <v>0.85</v>
      </c>
      <c r="M143" s="19">
        <v>1200</v>
      </c>
      <c r="N143" s="29">
        <v>0</v>
      </c>
      <c r="O143" s="29">
        <v>0</v>
      </c>
      <c r="P143" s="29">
        <v>0</v>
      </c>
      <c r="Q143" s="29">
        <v>0</v>
      </c>
      <c r="R143" s="31">
        <v>0.97</v>
      </c>
      <c r="S143" s="31">
        <v>0.85</v>
      </c>
      <c r="T143" s="72">
        <v>0.03</v>
      </c>
      <c r="U143" s="29">
        <v>0</v>
      </c>
      <c r="V143" s="29">
        <v>0</v>
      </c>
      <c r="W143" s="75">
        <v>1</v>
      </c>
      <c r="X143" s="29">
        <v>0</v>
      </c>
      <c r="Y143" s="29">
        <v>0</v>
      </c>
      <c r="Z143" s="29">
        <v>0</v>
      </c>
      <c r="AA143" s="29">
        <v>0</v>
      </c>
      <c r="AB143" s="134">
        <v>134.22640000000001</v>
      </c>
      <c r="AC143" s="134">
        <v>0.25940000000000002</v>
      </c>
      <c r="AD143" s="29" t="s">
        <v>568</v>
      </c>
      <c r="AE143" s="53">
        <v>0</v>
      </c>
      <c r="AF143" s="53">
        <v>83.052199999999999</v>
      </c>
      <c r="AG143" s="53">
        <v>83.052199999999999</v>
      </c>
      <c r="AH143" s="31">
        <v>0.3</v>
      </c>
      <c r="AI143" s="31">
        <v>0.24</v>
      </c>
      <c r="AJ143" s="29">
        <v>0.18</v>
      </c>
      <c r="AK143" s="29">
        <v>0.15</v>
      </c>
      <c r="AL143" s="62">
        <v>55</v>
      </c>
      <c r="AM143" s="135">
        <v>10.4</v>
      </c>
      <c r="AN143" s="31">
        <v>5.9999999999999995E-4</v>
      </c>
      <c r="AO143" s="31">
        <v>5.9999999999999993E-3</v>
      </c>
      <c r="AP143" s="31">
        <v>5.9999999999999993E-3</v>
      </c>
      <c r="AQ143" s="31">
        <v>3.0000000000000001E-3</v>
      </c>
      <c r="AR143" s="31">
        <v>5.9999999999999993E-3</v>
      </c>
      <c r="AS143" s="130">
        <v>0</v>
      </c>
      <c r="AT143" s="29">
        <v>0</v>
      </c>
      <c r="AU143" s="29">
        <v>0</v>
      </c>
      <c r="AV143" s="71">
        <v>0</v>
      </c>
      <c r="AW143" s="71">
        <v>0</v>
      </c>
      <c r="AX143" s="71">
        <v>0</v>
      </c>
      <c r="AY143" s="71">
        <v>0</v>
      </c>
      <c r="AZ143" s="19">
        <v>0.91</v>
      </c>
      <c r="BA143" s="65">
        <v>4.07</v>
      </c>
      <c r="BB143" s="29" t="b">
        <v>0</v>
      </c>
      <c r="BC143" s="29" t="b">
        <v>0</v>
      </c>
      <c r="BD143" s="29" t="s">
        <v>79</v>
      </c>
      <c r="BE143" s="29" t="b">
        <v>1</v>
      </c>
      <c r="BF143" s="29" t="b">
        <v>0</v>
      </c>
      <c r="BG143" s="62" t="b">
        <v>0</v>
      </c>
      <c r="BH143" s="30">
        <v>0.97</v>
      </c>
      <c r="BI143" s="29" t="b">
        <v>0</v>
      </c>
      <c r="BJ143" s="62" t="s">
        <v>25</v>
      </c>
      <c r="BK143" s="29" t="b">
        <v>0</v>
      </c>
      <c r="BL143" s="29" t="b">
        <v>0</v>
      </c>
      <c r="BM143" s="29">
        <v>0</v>
      </c>
      <c r="BN143" s="29">
        <v>0</v>
      </c>
      <c r="BO143" s="29">
        <v>0</v>
      </c>
      <c r="BP143" s="29">
        <v>0</v>
      </c>
      <c r="BQ143" s="29" t="b">
        <v>0</v>
      </c>
      <c r="BR143" s="29">
        <v>0</v>
      </c>
      <c r="BS143" s="53">
        <v>0</v>
      </c>
      <c r="BT143" s="62" t="b">
        <v>0</v>
      </c>
      <c r="BU143" s="29" t="b">
        <v>0</v>
      </c>
      <c r="BV143" s="29" t="b">
        <v>0</v>
      </c>
      <c r="BW143" s="29" t="s">
        <v>79</v>
      </c>
      <c r="BX143" s="62" t="b">
        <v>0</v>
      </c>
      <c r="BY143" s="62" t="s">
        <v>431</v>
      </c>
    </row>
    <row r="144" spans="1:77" x14ac:dyDescent="0.2">
      <c r="A144" s="18" t="s">
        <v>873</v>
      </c>
      <c r="B144" s="133" t="s">
        <v>874</v>
      </c>
      <c r="C144" s="17" t="s">
        <v>76</v>
      </c>
      <c r="D144" s="164" t="s">
        <v>25</v>
      </c>
      <c r="E144" s="164" t="s">
        <v>25</v>
      </c>
      <c r="F144" s="63" t="s">
        <v>605</v>
      </c>
      <c r="G144" s="19" t="s">
        <v>376</v>
      </c>
      <c r="H144" s="29" t="b">
        <v>0</v>
      </c>
      <c r="I144" s="37" t="s">
        <v>79</v>
      </c>
      <c r="J144" s="17" t="s">
        <v>79</v>
      </c>
      <c r="K144" s="29" t="b">
        <v>1</v>
      </c>
      <c r="L144" s="70">
        <v>0.9</v>
      </c>
      <c r="M144" s="19">
        <v>1200</v>
      </c>
      <c r="N144" s="29">
        <v>0</v>
      </c>
      <c r="O144" s="29">
        <v>0</v>
      </c>
      <c r="P144" s="29">
        <v>0</v>
      </c>
      <c r="Q144" s="29">
        <v>0</v>
      </c>
      <c r="R144" s="31">
        <v>0.97</v>
      </c>
      <c r="S144" s="31">
        <v>0.97</v>
      </c>
      <c r="T144" s="72">
        <v>0.03</v>
      </c>
      <c r="U144" s="29">
        <v>0</v>
      </c>
      <c r="V144" s="29">
        <v>0</v>
      </c>
      <c r="W144" s="75">
        <v>1</v>
      </c>
      <c r="X144" s="29">
        <v>0</v>
      </c>
      <c r="Y144" s="29">
        <v>0</v>
      </c>
      <c r="Z144" s="29">
        <v>0</v>
      </c>
      <c r="AA144" s="29">
        <v>0</v>
      </c>
      <c r="AB144" s="134">
        <v>164.58150000000001</v>
      </c>
      <c r="AC144" s="134">
        <v>0.27900000000000003</v>
      </c>
      <c r="AD144" s="29" t="s">
        <v>568</v>
      </c>
      <c r="AE144" s="53">
        <v>0</v>
      </c>
      <c r="AF144" s="53">
        <v>83.052199999999999</v>
      </c>
      <c r="AG144" s="53">
        <v>83.052199999999999</v>
      </c>
      <c r="AH144" s="31">
        <v>0.3</v>
      </c>
      <c r="AI144" s="31">
        <v>0.24</v>
      </c>
      <c r="AJ144" s="29">
        <v>0.18</v>
      </c>
      <c r="AK144" s="29">
        <v>0.15</v>
      </c>
      <c r="AL144" s="62">
        <v>55</v>
      </c>
      <c r="AM144" s="135">
        <v>10.4</v>
      </c>
      <c r="AN144" s="31">
        <v>5.9999999999999995E-4</v>
      </c>
      <c r="AO144" s="31">
        <v>5.9999999999999993E-3</v>
      </c>
      <c r="AP144" s="31">
        <v>5.9999999999999993E-3</v>
      </c>
      <c r="AQ144" s="31">
        <v>3.0000000000000001E-3</v>
      </c>
      <c r="AR144" s="31">
        <v>5.9999999999999993E-3</v>
      </c>
      <c r="AS144" s="130">
        <v>0</v>
      </c>
      <c r="AT144" s="29">
        <v>0</v>
      </c>
      <c r="AU144" s="29">
        <v>0</v>
      </c>
      <c r="AV144" s="71">
        <v>0</v>
      </c>
      <c r="AW144" s="71">
        <v>0</v>
      </c>
      <c r="AX144" s="71">
        <v>0</v>
      </c>
      <c r="AY144" s="71">
        <v>0</v>
      </c>
      <c r="AZ144" s="19">
        <v>0.91</v>
      </c>
      <c r="BA144" s="65">
        <v>4.07</v>
      </c>
      <c r="BB144" s="29" t="b">
        <v>0</v>
      </c>
      <c r="BC144" s="29" t="b">
        <v>0</v>
      </c>
      <c r="BD144" s="29" t="s">
        <v>79</v>
      </c>
      <c r="BE144" s="29" t="b">
        <v>1</v>
      </c>
      <c r="BF144" s="29" t="b">
        <v>0</v>
      </c>
      <c r="BG144" s="62" t="b">
        <v>0</v>
      </c>
      <c r="BH144" s="30">
        <v>0.97</v>
      </c>
      <c r="BI144" s="29" t="b">
        <v>0</v>
      </c>
      <c r="BJ144" s="62" t="s">
        <v>25</v>
      </c>
      <c r="BK144" s="29" t="b">
        <v>0</v>
      </c>
      <c r="BL144" s="29" t="b">
        <v>0</v>
      </c>
      <c r="BM144" s="29">
        <v>0</v>
      </c>
      <c r="BN144" s="29">
        <v>0</v>
      </c>
      <c r="BO144" s="29">
        <v>0</v>
      </c>
      <c r="BP144" s="29">
        <v>0</v>
      </c>
      <c r="BQ144" s="29" t="b">
        <v>0</v>
      </c>
      <c r="BR144" s="29">
        <v>0</v>
      </c>
      <c r="BS144" s="53">
        <v>0</v>
      </c>
      <c r="BT144" s="62" t="b">
        <v>0</v>
      </c>
      <c r="BU144" s="29" t="b">
        <v>0</v>
      </c>
      <c r="BV144" s="29" t="b">
        <v>0</v>
      </c>
      <c r="BW144" s="29" t="s">
        <v>79</v>
      </c>
      <c r="BX144" s="62" t="b">
        <v>0</v>
      </c>
      <c r="BY144" s="62" t="s">
        <v>431</v>
      </c>
    </row>
    <row r="145" spans="1:77" x14ac:dyDescent="0.2">
      <c r="A145" s="18" t="s">
        <v>875</v>
      </c>
      <c r="B145" s="133" t="s">
        <v>876</v>
      </c>
      <c r="C145" s="17" t="s">
        <v>76</v>
      </c>
      <c r="D145" s="164" t="s">
        <v>25</v>
      </c>
      <c r="E145" s="164" t="s">
        <v>25</v>
      </c>
      <c r="F145" s="63" t="s">
        <v>605</v>
      </c>
      <c r="G145" s="19" t="s">
        <v>376</v>
      </c>
      <c r="H145" s="29" t="b">
        <v>1</v>
      </c>
      <c r="I145" s="37" t="s">
        <v>79</v>
      </c>
      <c r="J145" s="17" t="s">
        <v>79</v>
      </c>
      <c r="K145" s="29" t="b">
        <v>1</v>
      </c>
      <c r="L145" s="70">
        <v>0.65</v>
      </c>
      <c r="M145" s="19">
        <v>1200</v>
      </c>
      <c r="N145" s="29">
        <v>0</v>
      </c>
      <c r="O145" s="29">
        <v>0</v>
      </c>
      <c r="P145" s="29">
        <v>0</v>
      </c>
      <c r="Q145" s="29">
        <v>0</v>
      </c>
      <c r="R145" s="31">
        <v>0.97</v>
      </c>
      <c r="S145" s="31">
        <v>0.65</v>
      </c>
      <c r="T145" s="72">
        <v>0.03</v>
      </c>
      <c r="U145" s="29">
        <v>0</v>
      </c>
      <c r="V145" s="29">
        <v>0</v>
      </c>
      <c r="W145" s="75">
        <v>1</v>
      </c>
      <c r="X145" s="29">
        <v>0</v>
      </c>
      <c r="Y145" s="29">
        <v>0</v>
      </c>
      <c r="Z145" s="29">
        <v>0</v>
      </c>
      <c r="AA145" s="29">
        <v>0</v>
      </c>
      <c r="AB145" s="134">
        <v>160.61439999999999</v>
      </c>
      <c r="AC145" s="134">
        <v>0.27300000000000002</v>
      </c>
      <c r="AD145" s="29" t="s">
        <v>568</v>
      </c>
      <c r="AE145" s="53">
        <v>0</v>
      </c>
      <c r="AF145" s="53">
        <v>83.052199999999999</v>
      </c>
      <c r="AG145" s="53">
        <v>83.052199999999999</v>
      </c>
      <c r="AH145" s="31">
        <v>0.3</v>
      </c>
      <c r="AI145" s="31">
        <v>0.24</v>
      </c>
      <c r="AJ145" s="29">
        <v>0.18</v>
      </c>
      <c r="AK145" s="29">
        <v>0.15</v>
      </c>
      <c r="AL145" s="62">
        <v>55</v>
      </c>
      <c r="AM145" s="135">
        <v>10.4</v>
      </c>
      <c r="AN145" s="31">
        <v>5.9999999999999995E-4</v>
      </c>
      <c r="AO145" s="31">
        <v>5.9999999999999993E-3</v>
      </c>
      <c r="AP145" s="31">
        <v>5.9999999999999993E-3</v>
      </c>
      <c r="AQ145" s="31">
        <v>3.0000000000000001E-3</v>
      </c>
      <c r="AR145" s="31">
        <v>5.9999999999999993E-3</v>
      </c>
      <c r="AS145" s="130">
        <v>0</v>
      </c>
      <c r="AT145" s="29">
        <v>0</v>
      </c>
      <c r="AU145" s="29">
        <v>0</v>
      </c>
      <c r="AV145" s="71">
        <v>0</v>
      </c>
      <c r="AW145" s="71">
        <v>0</v>
      </c>
      <c r="AX145" s="71">
        <v>0</v>
      </c>
      <c r="AY145" s="71">
        <v>0</v>
      </c>
      <c r="AZ145" s="19">
        <v>0.91</v>
      </c>
      <c r="BA145" s="65">
        <v>4.07</v>
      </c>
      <c r="BB145" s="29" t="b">
        <v>0</v>
      </c>
      <c r="BC145" s="29" t="b">
        <v>0</v>
      </c>
      <c r="BD145" s="29" t="s">
        <v>79</v>
      </c>
      <c r="BE145" s="29" t="b">
        <v>1</v>
      </c>
      <c r="BF145" s="29" t="b">
        <v>0</v>
      </c>
      <c r="BG145" s="62" t="b">
        <v>0</v>
      </c>
      <c r="BH145" s="30">
        <v>0.97</v>
      </c>
      <c r="BI145" s="29" t="b">
        <v>0</v>
      </c>
      <c r="BJ145" s="62" t="s">
        <v>25</v>
      </c>
      <c r="BK145" s="29" t="b">
        <v>0</v>
      </c>
      <c r="BL145" s="29" t="b">
        <v>0</v>
      </c>
      <c r="BM145" s="29">
        <v>0</v>
      </c>
      <c r="BN145" s="29">
        <v>0</v>
      </c>
      <c r="BO145" s="29">
        <v>0</v>
      </c>
      <c r="BP145" s="29">
        <v>0</v>
      </c>
      <c r="BQ145" s="29" t="b">
        <v>0</v>
      </c>
      <c r="BR145" s="29">
        <v>0</v>
      </c>
      <c r="BS145" s="53">
        <v>0</v>
      </c>
      <c r="BT145" s="62" t="b">
        <v>0</v>
      </c>
      <c r="BU145" s="29" t="b">
        <v>0</v>
      </c>
      <c r="BV145" s="29" t="b">
        <v>0</v>
      </c>
      <c r="BW145" s="29" t="s">
        <v>79</v>
      </c>
      <c r="BX145" s="62" t="b">
        <v>0</v>
      </c>
      <c r="BY145" s="62" t="s">
        <v>431</v>
      </c>
    </row>
    <row r="146" spans="1:77" x14ac:dyDescent="0.2">
      <c r="A146" s="18" t="s">
        <v>877</v>
      </c>
      <c r="B146" s="133" t="s">
        <v>878</v>
      </c>
      <c r="C146" s="17" t="s">
        <v>129</v>
      </c>
      <c r="D146" s="164" t="s">
        <v>612</v>
      </c>
      <c r="E146" s="164" t="s">
        <v>612</v>
      </c>
      <c r="F146" s="63" t="s">
        <v>879</v>
      </c>
      <c r="G146" s="19" t="s">
        <v>376</v>
      </c>
      <c r="H146" s="29" t="b">
        <v>0</v>
      </c>
      <c r="I146" s="37" t="s">
        <v>79</v>
      </c>
      <c r="J146" s="17" t="s">
        <v>79</v>
      </c>
      <c r="K146" s="29" t="b">
        <v>0</v>
      </c>
      <c r="L146" s="70">
        <v>0</v>
      </c>
      <c r="M146" s="19">
        <v>300</v>
      </c>
      <c r="N146" s="29">
        <v>0</v>
      </c>
      <c r="O146" s="29">
        <v>0</v>
      </c>
      <c r="P146" s="29">
        <v>0</v>
      </c>
      <c r="Q146" s="29">
        <v>0</v>
      </c>
      <c r="R146" s="31">
        <v>0.96799999999999997</v>
      </c>
      <c r="S146" s="31">
        <v>0.45</v>
      </c>
      <c r="T146" s="72">
        <v>3.2000000000000001E-2</v>
      </c>
      <c r="U146" s="29">
        <v>0</v>
      </c>
      <c r="V146" s="29">
        <v>0</v>
      </c>
      <c r="W146" s="75">
        <v>1</v>
      </c>
      <c r="X146" s="29">
        <v>0</v>
      </c>
      <c r="Y146" s="29">
        <v>0</v>
      </c>
      <c r="Z146" s="29">
        <v>0</v>
      </c>
      <c r="AA146" s="29">
        <v>0</v>
      </c>
      <c r="AB146" s="134">
        <v>37.410600000000002</v>
      </c>
      <c r="AC146" s="134">
        <v>0.45140000000000002</v>
      </c>
      <c r="AD146" s="29">
        <v>0</v>
      </c>
      <c r="AE146" s="53">
        <v>3.5424000000000002</v>
      </c>
      <c r="AF146" s="53">
        <v>139.29750000000001</v>
      </c>
      <c r="AG146" s="53">
        <v>139.29750000000001</v>
      </c>
      <c r="AH146" s="31">
        <v>0.3</v>
      </c>
      <c r="AI146" s="31">
        <v>0.24</v>
      </c>
      <c r="AJ146" s="29">
        <v>0.18</v>
      </c>
      <c r="AK146" s="29">
        <v>0.15</v>
      </c>
      <c r="AL146" s="62">
        <v>50</v>
      </c>
      <c r="AM146" s="135">
        <v>11.9</v>
      </c>
      <c r="AN146" s="31">
        <v>0.08</v>
      </c>
      <c r="AO146" s="31">
        <v>0.8</v>
      </c>
      <c r="AP146" s="31">
        <v>0.8</v>
      </c>
      <c r="AQ146" s="31">
        <v>0.4</v>
      </c>
      <c r="AR146" s="31">
        <v>0.8</v>
      </c>
      <c r="AS146" s="130">
        <v>52.07</v>
      </c>
      <c r="AT146" s="29">
        <v>0</v>
      </c>
      <c r="AU146" s="29">
        <v>0</v>
      </c>
      <c r="AV146" s="71">
        <v>0.61963299999999999</v>
      </c>
      <c r="AW146" s="71">
        <v>0</v>
      </c>
      <c r="AX146" s="71">
        <v>0</v>
      </c>
      <c r="AY146" s="71">
        <v>0</v>
      </c>
      <c r="AZ146" s="19">
        <v>0.87</v>
      </c>
      <c r="BA146" s="65">
        <v>5.29</v>
      </c>
      <c r="BB146" s="29" t="b">
        <v>0</v>
      </c>
      <c r="BC146" s="29" t="b">
        <v>0</v>
      </c>
      <c r="BD146" s="29" t="s">
        <v>79</v>
      </c>
      <c r="BE146" s="29" t="b">
        <v>0</v>
      </c>
      <c r="BF146" s="29" t="b">
        <v>0</v>
      </c>
      <c r="BG146" s="62" t="b">
        <v>0</v>
      </c>
      <c r="BH146" s="30">
        <v>0.96799999999999997</v>
      </c>
      <c r="BI146" s="29" t="b">
        <v>0</v>
      </c>
      <c r="BJ146" s="62" t="s">
        <v>392</v>
      </c>
      <c r="BK146" s="29" t="b">
        <v>0</v>
      </c>
      <c r="BL146" s="29" t="b">
        <v>0</v>
      </c>
      <c r="BM146" s="29">
        <v>0</v>
      </c>
      <c r="BN146" s="29">
        <v>0</v>
      </c>
      <c r="BO146" s="29">
        <v>0</v>
      </c>
      <c r="BP146" s="29">
        <v>0</v>
      </c>
      <c r="BQ146" s="29" t="b">
        <v>0</v>
      </c>
      <c r="BR146" s="29">
        <v>0</v>
      </c>
      <c r="BS146" s="53">
        <v>0</v>
      </c>
      <c r="BT146" s="62" t="b">
        <v>0</v>
      </c>
      <c r="BU146" s="29" t="b">
        <v>0</v>
      </c>
      <c r="BV146" s="29" t="b">
        <v>0</v>
      </c>
      <c r="BW146" s="29" t="s">
        <v>79</v>
      </c>
      <c r="BX146" s="62" t="b">
        <v>0</v>
      </c>
      <c r="BY146" s="62" t="s">
        <v>431</v>
      </c>
    </row>
    <row r="147" spans="1:77" x14ac:dyDescent="0.2">
      <c r="A147" s="18" t="s">
        <v>880</v>
      </c>
      <c r="B147" s="133" t="s">
        <v>881</v>
      </c>
      <c r="C147" s="17" t="s">
        <v>122</v>
      </c>
      <c r="D147" s="164" t="s">
        <v>612</v>
      </c>
      <c r="E147" s="164" t="s">
        <v>612</v>
      </c>
      <c r="F147" s="63" t="s">
        <v>879</v>
      </c>
      <c r="G147" s="19" t="s">
        <v>376</v>
      </c>
      <c r="H147" s="29" t="b">
        <v>0</v>
      </c>
      <c r="I147" s="37" t="s">
        <v>79</v>
      </c>
      <c r="J147" s="17" t="s">
        <v>79</v>
      </c>
      <c r="K147" s="29" t="b">
        <v>0</v>
      </c>
      <c r="L147" s="70">
        <v>0</v>
      </c>
      <c r="M147" s="19">
        <v>300</v>
      </c>
      <c r="N147" s="29">
        <v>0</v>
      </c>
      <c r="O147" s="29">
        <v>0</v>
      </c>
      <c r="P147" s="29">
        <v>0</v>
      </c>
      <c r="Q147" s="29">
        <v>0</v>
      </c>
      <c r="R147" s="31">
        <v>0.96799999999999997</v>
      </c>
      <c r="S147" s="31">
        <v>0.45</v>
      </c>
      <c r="T147" s="72">
        <v>3.2000000000000001E-2</v>
      </c>
      <c r="U147" s="29">
        <v>0</v>
      </c>
      <c r="V147" s="29">
        <v>0</v>
      </c>
      <c r="W147" s="75">
        <v>1</v>
      </c>
      <c r="X147" s="29">
        <v>0</v>
      </c>
      <c r="Y147" s="29">
        <v>0</v>
      </c>
      <c r="Z147" s="29">
        <v>0</v>
      </c>
      <c r="AA147" s="29">
        <v>0</v>
      </c>
      <c r="AB147" s="134">
        <v>171.4709</v>
      </c>
      <c r="AC147" s="134">
        <v>4.1534000000000004</v>
      </c>
      <c r="AD147" s="29">
        <v>0</v>
      </c>
      <c r="AE147" s="53">
        <v>3.5424000000000002</v>
      </c>
      <c r="AF147" s="53">
        <v>139.29750000000001</v>
      </c>
      <c r="AG147" s="53">
        <v>139.29750000000001</v>
      </c>
      <c r="AH147" s="31">
        <v>0.3</v>
      </c>
      <c r="AI147" s="31">
        <v>0.24</v>
      </c>
      <c r="AJ147" s="29">
        <v>0.18</v>
      </c>
      <c r="AK147" s="29">
        <v>0.15</v>
      </c>
      <c r="AL147" s="62">
        <v>50</v>
      </c>
      <c r="AM147" s="135">
        <v>10.8</v>
      </c>
      <c r="AN147" s="31">
        <v>0.08</v>
      </c>
      <c r="AO147" s="31">
        <v>0.8</v>
      </c>
      <c r="AP147" s="31">
        <v>0.8</v>
      </c>
      <c r="AQ147" s="31">
        <v>0.4</v>
      </c>
      <c r="AR147" s="31">
        <v>0.8</v>
      </c>
      <c r="AS147" s="130">
        <v>52.07</v>
      </c>
      <c r="AT147" s="29">
        <v>0</v>
      </c>
      <c r="AU147" s="29">
        <v>0</v>
      </c>
      <c r="AV147" s="71">
        <v>0.56235599999999997</v>
      </c>
      <c r="AW147" s="71">
        <v>0</v>
      </c>
      <c r="AX147" s="71">
        <v>0</v>
      </c>
      <c r="AY147" s="71">
        <v>0</v>
      </c>
      <c r="AZ147" s="19">
        <v>0.87</v>
      </c>
      <c r="BA147" s="65">
        <v>5.29</v>
      </c>
      <c r="BB147" s="29" t="b">
        <v>0</v>
      </c>
      <c r="BC147" s="29" t="b">
        <v>0</v>
      </c>
      <c r="BD147" s="29" t="s">
        <v>79</v>
      </c>
      <c r="BE147" s="29" t="b">
        <v>0</v>
      </c>
      <c r="BF147" s="29" t="b">
        <v>0</v>
      </c>
      <c r="BG147" s="62" t="b">
        <v>0</v>
      </c>
      <c r="BH147" s="30">
        <v>0.96799999999999997</v>
      </c>
      <c r="BI147" s="29" t="b">
        <v>0</v>
      </c>
      <c r="BJ147" s="62" t="s">
        <v>392</v>
      </c>
      <c r="BK147" s="29" t="b">
        <v>0</v>
      </c>
      <c r="BL147" s="29" t="b">
        <v>0</v>
      </c>
      <c r="BM147" s="29">
        <v>0</v>
      </c>
      <c r="BN147" s="29">
        <v>0</v>
      </c>
      <c r="BO147" s="29">
        <v>0</v>
      </c>
      <c r="BP147" s="29">
        <v>0</v>
      </c>
      <c r="BQ147" s="29" t="b">
        <v>0</v>
      </c>
      <c r="BR147" s="29">
        <v>0</v>
      </c>
      <c r="BS147" s="53">
        <v>0</v>
      </c>
      <c r="BT147" s="62" t="b">
        <v>0</v>
      </c>
      <c r="BU147" s="29" t="b">
        <v>0</v>
      </c>
      <c r="BV147" s="29" t="b">
        <v>0</v>
      </c>
      <c r="BW147" s="29" t="s">
        <v>79</v>
      </c>
      <c r="BX147" s="62" t="b">
        <v>0</v>
      </c>
      <c r="BY147" s="62" t="s">
        <v>431</v>
      </c>
    </row>
    <row r="148" spans="1:77" x14ac:dyDescent="0.2">
      <c r="A148" s="18" t="s">
        <v>882</v>
      </c>
      <c r="B148" s="133" t="s">
        <v>883</v>
      </c>
      <c r="C148" s="17" t="s">
        <v>122</v>
      </c>
      <c r="D148" s="164" t="s">
        <v>612</v>
      </c>
      <c r="E148" s="164" t="s">
        <v>612</v>
      </c>
      <c r="F148" s="63" t="s">
        <v>879</v>
      </c>
      <c r="G148" s="19" t="s">
        <v>376</v>
      </c>
      <c r="H148" s="29" t="b">
        <v>0</v>
      </c>
      <c r="I148" s="37" t="s">
        <v>79</v>
      </c>
      <c r="J148" s="17" t="s">
        <v>79</v>
      </c>
      <c r="K148" s="29" t="b">
        <v>0</v>
      </c>
      <c r="L148" s="70">
        <v>0</v>
      </c>
      <c r="M148" s="19">
        <v>100</v>
      </c>
      <c r="N148" s="29">
        <v>0</v>
      </c>
      <c r="O148" s="29">
        <v>0</v>
      </c>
      <c r="P148" s="29">
        <v>0</v>
      </c>
      <c r="Q148" s="29">
        <v>0</v>
      </c>
      <c r="R148" s="31">
        <v>0.96599999999999997</v>
      </c>
      <c r="S148" s="31">
        <v>0.39</v>
      </c>
      <c r="T148" s="72">
        <v>3.4000000000000002E-2</v>
      </c>
      <c r="U148" s="29">
        <v>0</v>
      </c>
      <c r="V148" s="29">
        <v>0</v>
      </c>
      <c r="W148" s="75">
        <v>1</v>
      </c>
      <c r="X148" s="29">
        <v>0</v>
      </c>
      <c r="Y148" s="29">
        <v>0</v>
      </c>
      <c r="Z148" s="29">
        <v>0</v>
      </c>
      <c r="AA148" s="29">
        <v>0</v>
      </c>
      <c r="AB148" s="134">
        <v>212.02160000000001</v>
      </c>
      <c r="AC148" s="134">
        <v>5.2592999999999996</v>
      </c>
      <c r="AD148" s="29">
        <v>0</v>
      </c>
      <c r="AE148" s="53">
        <v>3.2841</v>
      </c>
      <c r="AF148" s="53">
        <v>139.29750000000001</v>
      </c>
      <c r="AG148" s="53">
        <v>139.29750000000001</v>
      </c>
      <c r="AH148" s="31">
        <v>0.3</v>
      </c>
      <c r="AI148" s="31">
        <v>0.24</v>
      </c>
      <c r="AJ148" s="29">
        <v>0.18</v>
      </c>
      <c r="AK148" s="29">
        <v>0.15</v>
      </c>
      <c r="AL148" s="62">
        <v>24</v>
      </c>
      <c r="AM148" s="135">
        <v>11.8</v>
      </c>
      <c r="AN148" s="31">
        <v>0.14000000000000001</v>
      </c>
      <c r="AO148" s="31">
        <v>1</v>
      </c>
      <c r="AP148" s="31">
        <v>1</v>
      </c>
      <c r="AQ148" s="31">
        <v>0.70000000000000007</v>
      </c>
      <c r="AR148" s="31">
        <v>1</v>
      </c>
      <c r="AS148" s="130">
        <v>52.07</v>
      </c>
      <c r="AT148" s="29">
        <v>0</v>
      </c>
      <c r="AU148" s="29">
        <v>0</v>
      </c>
      <c r="AV148" s="71">
        <v>0.61442600000000003</v>
      </c>
      <c r="AW148" s="71">
        <v>0</v>
      </c>
      <c r="AX148" s="71">
        <v>0</v>
      </c>
      <c r="AY148" s="71">
        <v>0</v>
      </c>
      <c r="AZ148" s="19">
        <v>0.83</v>
      </c>
      <c r="BA148" s="65">
        <v>1.6</v>
      </c>
      <c r="BB148" s="29" t="b">
        <v>0</v>
      </c>
      <c r="BC148" s="29" t="b">
        <v>0</v>
      </c>
      <c r="BD148" s="29" t="s">
        <v>79</v>
      </c>
      <c r="BE148" s="29" t="b">
        <v>0</v>
      </c>
      <c r="BF148" s="29" t="b">
        <v>0</v>
      </c>
      <c r="BG148" s="62" t="b">
        <v>0</v>
      </c>
      <c r="BH148" s="30">
        <v>0.96599999999999997</v>
      </c>
      <c r="BI148" s="29" t="b">
        <v>0</v>
      </c>
      <c r="BJ148" s="62" t="s">
        <v>395</v>
      </c>
      <c r="BK148" s="29" t="b">
        <v>0</v>
      </c>
      <c r="BL148" s="29" t="b">
        <v>0</v>
      </c>
      <c r="BM148" s="29">
        <v>0</v>
      </c>
      <c r="BN148" s="29">
        <v>0</v>
      </c>
      <c r="BO148" s="29">
        <v>0</v>
      </c>
      <c r="BP148" s="29">
        <v>0</v>
      </c>
      <c r="BQ148" s="29" t="b">
        <v>0</v>
      </c>
      <c r="BR148" s="29">
        <v>0</v>
      </c>
      <c r="BS148" s="53">
        <v>0</v>
      </c>
      <c r="BT148" s="62" t="b">
        <v>0</v>
      </c>
      <c r="BU148" s="29" t="b">
        <v>0</v>
      </c>
      <c r="BV148" s="29" t="b">
        <v>0</v>
      </c>
      <c r="BW148" s="29" t="s">
        <v>79</v>
      </c>
      <c r="BX148" s="62" t="b">
        <v>0</v>
      </c>
      <c r="BY148" s="62" t="s">
        <v>431</v>
      </c>
    </row>
    <row r="149" spans="1:77" x14ac:dyDescent="0.2">
      <c r="A149" s="18" t="s">
        <v>884</v>
      </c>
      <c r="B149" s="133" t="s">
        <v>885</v>
      </c>
      <c r="C149" s="17" t="s">
        <v>122</v>
      </c>
      <c r="D149" s="164" t="s">
        <v>612</v>
      </c>
      <c r="E149" s="164" t="s">
        <v>612</v>
      </c>
      <c r="F149" s="63" t="s">
        <v>886</v>
      </c>
      <c r="G149" s="19" t="s">
        <v>376</v>
      </c>
      <c r="H149" s="29" t="b">
        <v>0</v>
      </c>
      <c r="I149" s="37" t="s">
        <v>79</v>
      </c>
      <c r="J149" s="17" t="s">
        <v>79</v>
      </c>
      <c r="K149" s="29" t="b">
        <v>0</v>
      </c>
      <c r="L149" s="70">
        <v>0</v>
      </c>
      <c r="M149" s="19">
        <v>100</v>
      </c>
      <c r="N149" s="29">
        <v>0</v>
      </c>
      <c r="O149" s="29">
        <v>0</v>
      </c>
      <c r="P149" s="29">
        <v>0</v>
      </c>
      <c r="Q149" s="29">
        <v>0</v>
      </c>
      <c r="R149" s="31">
        <v>0.96599999999999997</v>
      </c>
      <c r="S149" s="31">
        <v>0.39</v>
      </c>
      <c r="T149" s="72">
        <v>3.4000000000000002E-2</v>
      </c>
      <c r="U149" s="29">
        <v>0</v>
      </c>
      <c r="V149" s="29">
        <v>0</v>
      </c>
      <c r="W149" s="75">
        <v>1</v>
      </c>
      <c r="X149" s="29">
        <v>0</v>
      </c>
      <c r="Y149" s="29">
        <v>0</v>
      </c>
      <c r="Z149" s="29">
        <v>0</v>
      </c>
      <c r="AA149" s="29">
        <v>0</v>
      </c>
      <c r="AB149" s="134">
        <v>227.0307</v>
      </c>
      <c r="AC149" s="134">
        <v>31.052900000000001</v>
      </c>
      <c r="AD149" s="29">
        <v>0</v>
      </c>
      <c r="AE149" s="53">
        <v>3.2841</v>
      </c>
      <c r="AF149" s="53">
        <v>139.29750000000001</v>
      </c>
      <c r="AG149" s="53">
        <v>139.29750000000001</v>
      </c>
      <c r="AH149" s="31">
        <v>0.3</v>
      </c>
      <c r="AI149" s="31">
        <v>0.24</v>
      </c>
      <c r="AJ149" s="29">
        <v>0.18</v>
      </c>
      <c r="AK149" s="29">
        <v>0.15</v>
      </c>
      <c r="AL149" s="62">
        <v>24</v>
      </c>
      <c r="AM149" s="135">
        <v>9.1999999999999993</v>
      </c>
      <c r="AN149" s="31">
        <v>0.14000000000000001</v>
      </c>
      <c r="AO149" s="31">
        <v>1</v>
      </c>
      <c r="AP149" s="31">
        <v>1</v>
      </c>
      <c r="AQ149" s="31">
        <v>0.70000000000000007</v>
      </c>
      <c r="AR149" s="31">
        <v>1</v>
      </c>
      <c r="AS149" s="130">
        <v>73.84</v>
      </c>
      <c r="AT149" s="29">
        <v>0</v>
      </c>
      <c r="AU149" s="29">
        <v>0</v>
      </c>
      <c r="AV149" s="71">
        <v>0.67932799999999993</v>
      </c>
      <c r="AW149" s="71">
        <v>0</v>
      </c>
      <c r="AX149" s="71">
        <v>0</v>
      </c>
      <c r="AY149" s="71">
        <v>0</v>
      </c>
      <c r="AZ149" s="19">
        <v>0.83</v>
      </c>
      <c r="BA149" s="65">
        <v>1.6</v>
      </c>
      <c r="BB149" s="29" t="b">
        <v>0</v>
      </c>
      <c r="BC149" s="29" t="b">
        <v>0</v>
      </c>
      <c r="BD149" s="29" t="s">
        <v>79</v>
      </c>
      <c r="BE149" s="29" t="b">
        <v>0</v>
      </c>
      <c r="BF149" s="29" t="b">
        <v>0</v>
      </c>
      <c r="BG149" s="62" t="b">
        <v>0</v>
      </c>
      <c r="BH149" s="30">
        <v>0.96599999999999997</v>
      </c>
      <c r="BI149" s="29" t="b">
        <v>0</v>
      </c>
      <c r="BJ149" s="62" t="s">
        <v>395</v>
      </c>
      <c r="BK149" s="29" t="b">
        <v>0</v>
      </c>
      <c r="BL149" s="29" t="b">
        <v>0</v>
      </c>
      <c r="BM149" s="29">
        <v>0</v>
      </c>
      <c r="BN149" s="29">
        <v>0</v>
      </c>
      <c r="BO149" s="29">
        <v>0</v>
      </c>
      <c r="BP149" s="29">
        <v>0</v>
      </c>
      <c r="BQ149" s="29" t="b">
        <v>0</v>
      </c>
      <c r="BR149" s="29">
        <v>0</v>
      </c>
      <c r="BS149" s="53">
        <v>0</v>
      </c>
      <c r="BT149" s="62" t="b">
        <v>0</v>
      </c>
      <c r="BU149" s="29" t="b">
        <v>0</v>
      </c>
      <c r="BV149" s="29" t="b">
        <v>0</v>
      </c>
      <c r="BW149" s="29" t="s">
        <v>79</v>
      </c>
      <c r="BX149" s="62" t="b">
        <v>0</v>
      </c>
      <c r="BY149" s="62" t="s">
        <v>431</v>
      </c>
    </row>
    <row r="150" spans="1:77" x14ac:dyDescent="0.2">
      <c r="A150" s="18" t="s">
        <v>887</v>
      </c>
      <c r="B150" s="133" t="s">
        <v>888</v>
      </c>
      <c r="C150" s="17" t="s">
        <v>122</v>
      </c>
      <c r="D150" s="164" t="s">
        <v>612</v>
      </c>
      <c r="E150" s="164" t="s">
        <v>612</v>
      </c>
      <c r="F150" s="63" t="s">
        <v>889</v>
      </c>
      <c r="G150" s="19" t="s">
        <v>376</v>
      </c>
      <c r="H150" s="29" t="b">
        <v>0</v>
      </c>
      <c r="I150" s="37" t="s">
        <v>79</v>
      </c>
      <c r="J150" s="17" t="s">
        <v>79</v>
      </c>
      <c r="K150" s="29" t="b">
        <v>0</v>
      </c>
      <c r="L150" s="70">
        <v>0</v>
      </c>
      <c r="M150" s="19">
        <v>500</v>
      </c>
      <c r="N150" s="29">
        <v>0</v>
      </c>
      <c r="O150" s="29">
        <v>0</v>
      </c>
      <c r="P150" s="29">
        <v>0</v>
      </c>
      <c r="Q150" s="29">
        <v>0</v>
      </c>
      <c r="R150" s="31">
        <v>0.96899999999999997</v>
      </c>
      <c r="S150" s="31">
        <v>0.47</v>
      </c>
      <c r="T150" s="72">
        <v>3.1E-2</v>
      </c>
      <c r="U150" s="29">
        <v>0</v>
      </c>
      <c r="V150" s="29">
        <v>0</v>
      </c>
      <c r="W150" s="75">
        <v>1</v>
      </c>
      <c r="X150" s="29">
        <v>0</v>
      </c>
      <c r="Y150" s="29">
        <v>0</v>
      </c>
      <c r="Z150" s="29">
        <v>0</v>
      </c>
      <c r="AA150" s="29">
        <v>0</v>
      </c>
      <c r="AB150" s="134">
        <v>22.432400000000001</v>
      </c>
      <c r="AC150" s="134">
        <v>3.8485</v>
      </c>
      <c r="AD150" s="29">
        <v>0</v>
      </c>
      <c r="AE150" s="53">
        <v>3.2841</v>
      </c>
      <c r="AF150" s="53">
        <v>139.29750000000001</v>
      </c>
      <c r="AG150" s="53">
        <v>139.29750000000001</v>
      </c>
      <c r="AH150" s="31">
        <v>0.3</v>
      </c>
      <c r="AI150" s="31">
        <v>0.24</v>
      </c>
      <c r="AJ150" s="29">
        <v>0.18</v>
      </c>
      <c r="AK150" s="29">
        <v>0.15</v>
      </c>
      <c r="AL150" s="62">
        <v>58</v>
      </c>
      <c r="AM150" s="135">
        <v>16.100000000000001</v>
      </c>
      <c r="AN150" s="31">
        <v>8.0000000000000002E-3</v>
      </c>
      <c r="AO150" s="31">
        <v>0.08</v>
      </c>
      <c r="AP150" s="31">
        <v>0.08</v>
      </c>
      <c r="AQ150" s="31">
        <v>0.04</v>
      </c>
      <c r="AR150" s="31">
        <v>0.08</v>
      </c>
      <c r="AS150" s="130">
        <v>59</v>
      </c>
      <c r="AT150" s="29">
        <v>0</v>
      </c>
      <c r="AU150" s="29">
        <v>0</v>
      </c>
      <c r="AV150" s="71">
        <v>0.94990000000000008</v>
      </c>
      <c r="AW150" s="71">
        <v>0</v>
      </c>
      <c r="AX150" s="71">
        <v>0</v>
      </c>
      <c r="AY150" s="71">
        <v>0</v>
      </c>
      <c r="AZ150" s="19">
        <v>0.87</v>
      </c>
      <c r="BA150" s="65">
        <v>4.97</v>
      </c>
      <c r="BB150" s="29" t="b">
        <v>0</v>
      </c>
      <c r="BC150" s="29" t="b">
        <v>0</v>
      </c>
      <c r="BD150" s="29" t="s">
        <v>79</v>
      </c>
      <c r="BE150" s="29" t="b">
        <v>0</v>
      </c>
      <c r="BF150" s="29" t="b">
        <v>0</v>
      </c>
      <c r="BG150" s="62" t="b">
        <v>0</v>
      </c>
      <c r="BH150" s="30">
        <v>0.96899999999999997</v>
      </c>
      <c r="BI150" s="29" t="b">
        <v>0</v>
      </c>
      <c r="BJ150" s="62" t="s">
        <v>393</v>
      </c>
      <c r="BK150" s="29" t="b">
        <v>0</v>
      </c>
      <c r="BL150" s="29" t="b">
        <v>0</v>
      </c>
      <c r="BM150" s="29">
        <v>0</v>
      </c>
      <c r="BN150" s="29">
        <v>0</v>
      </c>
      <c r="BO150" s="29">
        <v>0</v>
      </c>
      <c r="BP150" s="29">
        <v>0</v>
      </c>
      <c r="BQ150" s="29" t="b">
        <v>0</v>
      </c>
      <c r="BR150" s="29">
        <v>0</v>
      </c>
      <c r="BS150" s="53">
        <v>0</v>
      </c>
      <c r="BT150" s="62" t="b">
        <v>0</v>
      </c>
      <c r="BU150" s="29" t="b">
        <v>0</v>
      </c>
      <c r="BV150" s="29" t="b">
        <v>0</v>
      </c>
      <c r="BW150" s="29" t="s">
        <v>79</v>
      </c>
      <c r="BX150" s="62" t="b">
        <v>0</v>
      </c>
      <c r="BY150" s="62" t="s">
        <v>431</v>
      </c>
    </row>
    <row r="151" spans="1:77" x14ac:dyDescent="0.2">
      <c r="A151" s="18" t="s">
        <v>890</v>
      </c>
      <c r="B151" s="133" t="s">
        <v>891</v>
      </c>
      <c r="C151" s="17" t="s">
        <v>122</v>
      </c>
      <c r="D151" s="164" t="s">
        <v>612</v>
      </c>
      <c r="E151" s="164" t="s">
        <v>612</v>
      </c>
      <c r="F151" s="63" t="s">
        <v>889</v>
      </c>
      <c r="G151" s="19" t="s">
        <v>376</v>
      </c>
      <c r="H151" s="29" t="b">
        <v>0</v>
      </c>
      <c r="I151" s="37" t="s">
        <v>79</v>
      </c>
      <c r="J151" s="17" t="s">
        <v>79</v>
      </c>
      <c r="K151" s="29" t="b">
        <v>0</v>
      </c>
      <c r="L151" s="70">
        <v>0</v>
      </c>
      <c r="M151" s="19">
        <v>100</v>
      </c>
      <c r="N151" s="29">
        <v>0</v>
      </c>
      <c r="O151" s="29">
        <v>0</v>
      </c>
      <c r="P151" s="29">
        <v>0</v>
      </c>
      <c r="Q151" s="29">
        <v>0</v>
      </c>
      <c r="R151" s="31">
        <v>0.96599999999999997</v>
      </c>
      <c r="S151" s="31">
        <v>0.39</v>
      </c>
      <c r="T151" s="72">
        <v>3.4000000000000002E-2</v>
      </c>
      <c r="U151" s="29">
        <v>0</v>
      </c>
      <c r="V151" s="29">
        <v>0</v>
      </c>
      <c r="W151" s="75">
        <v>1</v>
      </c>
      <c r="X151" s="29">
        <v>0</v>
      </c>
      <c r="Y151" s="29">
        <v>0</v>
      </c>
      <c r="Z151" s="29">
        <v>0</v>
      </c>
      <c r="AA151" s="29">
        <v>0</v>
      </c>
      <c r="AB151" s="134">
        <v>25.603200000000001</v>
      </c>
      <c r="AC151" s="134">
        <v>6.5906000000000002</v>
      </c>
      <c r="AD151" s="29">
        <v>0</v>
      </c>
      <c r="AE151" s="53">
        <v>3.2841</v>
      </c>
      <c r="AF151" s="53">
        <v>139.29750000000001</v>
      </c>
      <c r="AG151" s="53">
        <v>139.29750000000001</v>
      </c>
      <c r="AH151" s="31">
        <v>0.3</v>
      </c>
      <c r="AI151" s="31">
        <v>0.24</v>
      </c>
      <c r="AJ151" s="29">
        <v>0.18</v>
      </c>
      <c r="AK151" s="29">
        <v>0.15</v>
      </c>
      <c r="AL151" s="62">
        <v>24</v>
      </c>
      <c r="AM151" s="135">
        <v>12.2</v>
      </c>
      <c r="AN151" s="31">
        <v>0.14000000000000001</v>
      </c>
      <c r="AO151" s="31">
        <v>1</v>
      </c>
      <c r="AP151" s="31">
        <v>1</v>
      </c>
      <c r="AQ151" s="31">
        <v>0.70000000000000007</v>
      </c>
      <c r="AR151" s="31">
        <v>1</v>
      </c>
      <c r="AS151" s="130">
        <v>59</v>
      </c>
      <c r="AT151" s="29">
        <v>0</v>
      </c>
      <c r="AU151" s="29">
        <v>0</v>
      </c>
      <c r="AV151" s="71">
        <v>0.7198</v>
      </c>
      <c r="AW151" s="71">
        <v>0</v>
      </c>
      <c r="AX151" s="71">
        <v>0</v>
      </c>
      <c r="AY151" s="71">
        <v>0</v>
      </c>
      <c r="AZ151" s="19">
        <v>0.83</v>
      </c>
      <c r="BA151" s="65">
        <v>1.6</v>
      </c>
      <c r="BB151" s="29" t="b">
        <v>0</v>
      </c>
      <c r="BC151" s="29" t="b">
        <v>0</v>
      </c>
      <c r="BD151" s="29" t="s">
        <v>79</v>
      </c>
      <c r="BE151" s="29" t="b">
        <v>0</v>
      </c>
      <c r="BF151" s="29" t="b">
        <v>0</v>
      </c>
      <c r="BG151" s="62" t="b">
        <v>0</v>
      </c>
      <c r="BH151" s="30">
        <v>0.96599999999999997</v>
      </c>
      <c r="BI151" s="29" t="b">
        <v>0</v>
      </c>
      <c r="BJ151" s="62" t="s">
        <v>395</v>
      </c>
      <c r="BK151" s="29" t="b">
        <v>0</v>
      </c>
      <c r="BL151" s="29" t="b">
        <v>0</v>
      </c>
      <c r="BM151" s="29">
        <v>0</v>
      </c>
      <c r="BN151" s="29">
        <v>0</v>
      </c>
      <c r="BO151" s="29">
        <v>0</v>
      </c>
      <c r="BP151" s="29">
        <v>0</v>
      </c>
      <c r="BQ151" s="29" t="b">
        <v>0</v>
      </c>
      <c r="BR151" s="29">
        <v>0</v>
      </c>
      <c r="BS151" s="53">
        <v>0</v>
      </c>
      <c r="BT151" s="62" t="b">
        <v>0</v>
      </c>
      <c r="BU151" s="29" t="b">
        <v>0</v>
      </c>
      <c r="BV151" s="29" t="b">
        <v>0</v>
      </c>
      <c r="BW151" s="29" t="s">
        <v>79</v>
      </c>
      <c r="BX151" s="62" t="b">
        <v>0</v>
      </c>
      <c r="BY151" s="62" t="s">
        <v>431</v>
      </c>
    </row>
    <row r="152" spans="1:77" x14ac:dyDescent="0.2">
      <c r="A152" s="18" t="s">
        <v>892</v>
      </c>
      <c r="B152" s="133" t="s">
        <v>893</v>
      </c>
      <c r="C152" s="17" t="s">
        <v>122</v>
      </c>
      <c r="D152" s="164" t="s">
        <v>612</v>
      </c>
      <c r="E152" s="164" t="s">
        <v>612</v>
      </c>
      <c r="F152" s="63" t="s">
        <v>889</v>
      </c>
      <c r="G152" s="19" t="s">
        <v>376</v>
      </c>
      <c r="H152" s="29" t="b">
        <v>0</v>
      </c>
      <c r="I152" s="37" t="s">
        <v>79</v>
      </c>
      <c r="J152" s="17" t="s">
        <v>79</v>
      </c>
      <c r="K152" s="29" t="b">
        <v>0</v>
      </c>
      <c r="L152" s="70">
        <v>0</v>
      </c>
      <c r="M152" s="19">
        <v>500</v>
      </c>
      <c r="N152" s="29">
        <v>0</v>
      </c>
      <c r="O152" s="29">
        <v>0</v>
      </c>
      <c r="P152" s="29">
        <v>0</v>
      </c>
      <c r="Q152" s="29">
        <v>0</v>
      </c>
      <c r="R152" s="31">
        <v>0.96799999999999997</v>
      </c>
      <c r="S152" s="31">
        <v>0.33</v>
      </c>
      <c r="T152" s="72">
        <v>3.2000000000000001E-2</v>
      </c>
      <c r="U152" s="69">
        <v>0</v>
      </c>
      <c r="V152" s="29">
        <v>0</v>
      </c>
      <c r="W152" s="75">
        <v>1</v>
      </c>
      <c r="X152" s="29">
        <v>0</v>
      </c>
      <c r="Y152" s="29">
        <v>0</v>
      </c>
      <c r="Z152" s="29">
        <v>0</v>
      </c>
      <c r="AA152" s="29">
        <v>0</v>
      </c>
      <c r="AB152" s="134">
        <v>20.482700000000001</v>
      </c>
      <c r="AC152" s="134">
        <v>1.0112000000000001</v>
      </c>
      <c r="AD152" s="29">
        <v>0</v>
      </c>
      <c r="AE152" s="53">
        <v>3.5424000000000002</v>
      </c>
      <c r="AF152" s="53">
        <v>139.29750000000001</v>
      </c>
      <c r="AG152" s="53">
        <v>139.29750000000001</v>
      </c>
      <c r="AH152" s="31">
        <v>0.3</v>
      </c>
      <c r="AI152" s="31">
        <v>0.24</v>
      </c>
      <c r="AJ152" s="29">
        <v>0.18</v>
      </c>
      <c r="AK152" s="29">
        <v>0.15</v>
      </c>
      <c r="AL152" s="62">
        <v>50</v>
      </c>
      <c r="AM152" s="135">
        <v>129</v>
      </c>
      <c r="AN152" s="31">
        <v>7.0000000000000001E-3</v>
      </c>
      <c r="AO152" s="31">
        <v>7.0000000000000007E-2</v>
      </c>
      <c r="AP152" s="31">
        <v>7.0000000000000007E-2</v>
      </c>
      <c r="AQ152" s="31">
        <v>3.5000000000000003E-2</v>
      </c>
      <c r="AR152" s="31">
        <v>7.0000000000000007E-2</v>
      </c>
      <c r="AS152" s="130">
        <v>59</v>
      </c>
      <c r="AT152" s="29">
        <v>0</v>
      </c>
      <c r="AU152" s="29">
        <v>0</v>
      </c>
      <c r="AV152" s="71">
        <v>7.6109999999999998</v>
      </c>
      <c r="AW152" s="71">
        <v>0</v>
      </c>
      <c r="AX152" s="71">
        <v>0</v>
      </c>
      <c r="AY152" s="71">
        <v>0</v>
      </c>
      <c r="AZ152" s="19">
        <v>0.87</v>
      </c>
      <c r="BA152" s="65">
        <v>5.29</v>
      </c>
      <c r="BB152" s="29" t="b">
        <v>0</v>
      </c>
      <c r="BC152" s="29" t="b">
        <v>0</v>
      </c>
      <c r="BD152" s="29" t="s">
        <v>79</v>
      </c>
      <c r="BE152" s="29" t="b">
        <v>0</v>
      </c>
      <c r="BF152" s="29" t="b">
        <v>0</v>
      </c>
      <c r="BG152" s="62" t="b">
        <v>0</v>
      </c>
      <c r="BH152" s="30">
        <v>0.96799999999999997</v>
      </c>
      <c r="BI152" s="29" t="b">
        <v>0</v>
      </c>
      <c r="BJ152" s="62" t="s">
        <v>392</v>
      </c>
      <c r="BK152" s="29" t="b">
        <v>0</v>
      </c>
      <c r="BL152" s="29" t="b">
        <v>0</v>
      </c>
      <c r="BM152" s="29">
        <v>0</v>
      </c>
      <c r="BN152" s="29">
        <v>0</v>
      </c>
      <c r="BO152" s="29">
        <v>0</v>
      </c>
      <c r="BP152" s="29">
        <v>0</v>
      </c>
      <c r="BQ152" s="29" t="b">
        <v>0</v>
      </c>
      <c r="BR152" s="29">
        <v>0</v>
      </c>
      <c r="BS152" s="53">
        <v>0</v>
      </c>
      <c r="BT152" s="62" t="b">
        <v>0</v>
      </c>
      <c r="BU152" s="29" t="b">
        <v>0</v>
      </c>
      <c r="BV152" s="29" t="b">
        <v>0</v>
      </c>
      <c r="BW152" s="29" t="s">
        <v>79</v>
      </c>
      <c r="BX152" s="62" t="b">
        <v>0</v>
      </c>
      <c r="BY152" s="62" t="s">
        <v>431</v>
      </c>
    </row>
    <row r="153" spans="1:77" x14ac:dyDescent="0.2">
      <c r="A153" s="18" t="s">
        <v>894</v>
      </c>
      <c r="B153" s="133" t="s">
        <v>895</v>
      </c>
      <c r="C153" s="17" t="s">
        <v>122</v>
      </c>
      <c r="D153" s="164" t="s">
        <v>195</v>
      </c>
      <c r="E153" s="164" t="s">
        <v>195</v>
      </c>
      <c r="F153" s="63" t="s">
        <v>896</v>
      </c>
      <c r="G153" s="19" t="s">
        <v>376</v>
      </c>
      <c r="H153" s="29" t="b">
        <v>1</v>
      </c>
      <c r="I153" s="37" t="s">
        <v>79</v>
      </c>
      <c r="J153" s="17" t="s">
        <v>79</v>
      </c>
      <c r="K153" s="29" t="b">
        <v>0</v>
      </c>
      <c r="L153" s="70">
        <v>0</v>
      </c>
      <c r="M153" s="19">
        <v>600</v>
      </c>
      <c r="N153" s="29">
        <v>0</v>
      </c>
      <c r="O153" s="29">
        <v>0</v>
      </c>
      <c r="P153" s="29">
        <v>0</v>
      </c>
      <c r="Q153" s="29">
        <v>0</v>
      </c>
      <c r="R153" s="31">
        <v>0.96099999999999997</v>
      </c>
      <c r="S153" s="31">
        <v>0.33</v>
      </c>
      <c r="T153" s="72">
        <v>3.9E-2</v>
      </c>
      <c r="U153" s="29">
        <v>0</v>
      </c>
      <c r="V153" s="29">
        <v>0</v>
      </c>
      <c r="W153" s="75">
        <v>1</v>
      </c>
      <c r="X153" s="29">
        <v>0</v>
      </c>
      <c r="Y153" s="29">
        <v>0</v>
      </c>
      <c r="Z153" s="29">
        <v>0</v>
      </c>
      <c r="AA153" s="29">
        <v>0</v>
      </c>
      <c r="AB153" s="134">
        <v>14.837</v>
      </c>
      <c r="AC153" s="134">
        <v>1.401</v>
      </c>
      <c r="AD153" s="29" t="s">
        <v>568</v>
      </c>
      <c r="AE153" s="53">
        <v>1.8564000000000001</v>
      </c>
      <c r="AF153" s="53">
        <v>56.929600000000001</v>
      </c>
      <c r="AG153" s="53">
        <v>56.929600000000001</v>
      </c>
      <c r="AH153" s="31">
        <v>0.3</v>
      </c>
      <c r="AI153" s="31">
        <v>0.24</v>
      </c>
      <c r="AJ153" s="29">
        <v>0.18</v>
      </c>
      <c r="AK153" s="29">
        <v>0.15</v>
      </c>
      <c r="AL153" s="62">
        <v>55</v>
      </c>
      <c r="AM153" s="135">
        <v>13.1</v>
      </c>
      <c r="AN153" s="31">
        <v>7.0000000000000001E-3</v>
      </c>
      <c r="AO153" s="31">
        <v>7.0000000000000007E-2</v>
      </c>
      <c r="AP153" s="31">
        <v>7.0000000000000007E-2</v>
      </c>
      <c r="AQ153" s="31">
        <v>3.5000000000000003E-2</v>
      </c>
      <c r="AR153" s="31">
        <v>7.0000000000000007E-2</v>
      </c>
      <c r="AS153" s="130">
        <v>102.41</v>
      </c>
      <c r="AT153" s="29">
        <v>0</v>
      </c>
      <c r="AU153" s="29">
        <v>0</v>
      </c>
      <c r="AV153" s="71">
        <v>1.3415710000000001</v>
      </c>
      <c r="AW153" s="71">
        <v>0</v>
      </c>
      <c r="AX153" s="71">
        <v>0</v>
      </c>
      <c r="AY153" s="71">
        <v>0</v>
      </c>
      <c r="AZ153" s="19">
        <v>0.87</v>
      </c>
      <c r="BA153" s="65">
        <v>2.63</v>
      </c>
      <c r="BB153" s="29" t="b">
        <v>0</v>
      </c>
      <c r="BC153" s="29" t="b">
        <v>0</v>
      </c>
      <c r="BD153" s="29" t="s">
        <v>79</v>
      </c>
      <c r="BE153" s="29" t="b">
        <v>0</v>
      </c>
      <c r="BF153" s="29" t="b">
        <v>0</v>
      </c>
      <c r="BG153" s="62" t="b">
        <v>0</v>
      </c>
      <c r="BH153" s="30">
        <v>0.96099999999999997</v>
      </c>
      <c r="BI153" s="29" t="b">
        <v>0</v>
      </c>
      <c r="BJ153" s="62" t="s">
        <v>391</v>
      </c>
      <c r="BK153" s="29" t="b">
        <v>0</v>
      </c>
      <c r="BL153" s="29" t="b">
        <v>0</v>
      </c>
      <c r="BM153" s="29">
        <v>0</v>
      </c>
      <c r="BN153" s="29">
        <v>0</v>
      </c>
      <c r="BO153" s="29">
        <v>0</v>
      </c>
      <c r="BP153" s="29">
        <v>0</v>
      </c>
      <c r="BQ153" s="29" t="b">
        <v>0</v>
      </c>
      <c r="BR153" s="29">
        <v>0</v>
      </c>
      <c r="BS153" s="53">
        <v>0</v>
      </c>
      <c r="BT153" s="62" t="b">
        <v>0</v>
      </c>
      <c r="BU153" s="29" t="b">
        <v>0</v>
      </c>
      <c r="BV153" s="29" t="b">
        <v>0</v>
      </c>
      <c r="BW153" s="29" t="s">
        <v>79</v>
      </c>
      <c r="BX153" s="62" t="b">
        <v>0</v>
      </c>
      <c r="BY153" s="62" t="s">
        <v>431</v>
      </c>
    </row>
    <row r="154" spans="1:77" x14ac:dyDescent="0.2">
      <c r="A154" s="18" t="s">
        <v>897</v>
      </c>
      <c r="B154" s="133" t="s">
        <v>898</v>
      </c>
      <c r="C154" s="17" t="s">
        <v>122</v>
      </c>
      <c r="D154" s="164" t="s">
        <v>612</v>
      </c>
      <c r="E154" s="164" t="s">
        <v>612</v>
      </c>
      <c r="F154" s="63" t="s">
        <v>899</v>
      </c>
      <c r="G154" s="19" t="s">
        <v>376</v>
      </c>
      <c r="H154" s="29" t="b">
        <v>0</v>
      </c>
      <c r="I154" s="37" t="s">
        <v>79</v>
      </c>
      <c r="J154" s="17" t="s">
        <v>79</v>
      </c>
      <c r="K154" s="29" t="b">
        <v>0</v>
      </c>
      <c r="L154" s="70">
        <v>0</v>
      </c>
      <c r="M154" s="19">
        <v>500</v>
      </c>
      <c r="N154" s="29">
        <v>0</v>
      </c>
      <c r="O154" s="29">
        <v>0</v>
      </c>
      <c r="P154" s="29">
        <v>0</v>
      </c>
      <c r="Q154" s="29">
        <v>0</v>
      </c>
      <c r="R154" s="31">
        <v>0.96799999999999997</v>
      </c>
      <c r="S154" s="31">
        <v>0.33</v>
      </c>
      <c r="T154" s="72">
        <v>3.2000000000000001E-2</v>
      </c>
      <c r="U154" s="69">
        <v>0</v>
      </c>
      <c r="V154" s="29">
        <v>0</v>
      </c>
      <c r="W154" s="75">
        <v>1</v>
      </c>
      <c r="X154" s="29">
        <v>0</v>
      </c>
      <c r="Y154" s="29">
        <v>0</v>
      </c>
      <c r="Z154" s="29">
        <v>0</v>
      </c>
      <c r="AA154" s="29">
        <v>0</v>
      </c>
      <c r="AB154" s="134">
        <v>20.482700000000001</v>
      </c>
      <c r="AC154" s="134">
        <v>1.0112000000000001</v>
      </c>
      <c r="AD154" s="29">
        <v>0</v>
      </c>
      <c r="AE154" s="53">
        <v>3.5424000000000002</v>
      </c>
      <c r="AF154" s="53">
        <v>139.29750000000001</v>
      </c>
      <c r="AG154" s="53">
        <v>139.29750000000001</v>
      </c>
      <c r="AH154" s="31">
        <v>0.3</v>
      </c>
      <c r="AI154" s="31">
        <v>0.24</v>
      </c>
      <c r="AJ154" s="29">
        <v>0.18</v>
      </c>
      <c r="AK154" s="29">
        <v>0.15</v>
      </c>
      <c r="AL154" s="62">
        <v>50</v>
      </c>
      <c r="AM154" s="135">
        <v>8.9</v>
      </c>
      <c r="AN154" s="31">
        <v>7.0000000000000001E-3</v>
      </c>
      <c r="AO154" s="31">
        <v>7.0000000000000007E-2</v>
      </c>
      <c r="AP154" s="31">
        <v>7.0000000000000007E-2</v>
      </c>
      <c r="AQ154" s="31">
        <v>3.5000000000000003E-2</v>
      </c>
      <c r="AR154" s="31">
        <v>7.0000000000000007E-2</v>
      </c>
      <c r="AS154" s="130">
        <v>0</v>
      </c>
      <c r="AT154" s="29">
        <v>0</v>
      </c>
      <c r="AU154" s="29">
        <v>0</v>
      </c>
      <c r="AV154" s="71">
        <v>0</v>
      </c>
      <c r="AW154" s="71">
        <v>0</v>
      </c>
      <c r="AX154" s="71">
        <v>0</v>
      </c>
      <c r="AY154" s="71">
        <v>0</v>
      </c>
      <c r="AZ154" s="19">
        <v>0.87</v>
      </c>
      <c r="BA154" s="65">
        <v>5.29</v>
      </c>
      <c r="BB154" s="29" t="b">
        <v>0</v>
      </c>
      <c r="BC154" s="29" t="b">
        <v>0</v>
      </c>
      <c r="BD154" s="29" t="s">
        <v>79</v>
      </c>
      <c r="BE154" s="29" t="b">
        <v>0</v>
      </c>
      <c r="BF154" s="29" t="b">
        <v>0</v>
      </c>
      <c r="BG154" s="62" t="b">
        <v>0</v>
      </c>
      <c r="BH154" s="30">
        <v>0.96799999999999997</v>
      </c>
      <c r="BI154" s="29" t="b">
        <v>0</v>
      </c>
      <c r="BJ154" s="62" t="s">
        <v>392</v>
      </c>
      <c r="BK154" s="29" t="b">
        <v>0</v>
      </c>
      <c r="BL154" s="29" t="b">
        <v>0</v>
      </c>
      <c r="BM154" s="29">
        <v>0</v>
      </c>
      <c r="BN154" s="29">
        <v>0</v>
      </c>
      <c r="BO154" s="29">
        <v>0</v>
      </c>
      <c r="BP154" s="29">
        <v>0</v>
      </c>
      <c r="BQ154" s="29" t="b">
        <v>0</v>
      </c>
      <c r="BR154" s="29">
        <v>0</v>
      </c>
      <c r="BS154" s="53">
        <v>0</v>
      </c>
      <c r="BT154" s="62" t="b">
        <v>0</v>
      </c>
      <c r="BU154" s="29" t="b">
        <v>0</v>
      </c>
      <c r="BV154" s="29" t="b">
        <v>0</v>
      </c>
      <c r="BW154" s="29" t="s">
        <v>79</v>
      </c>
      <c r="BX154" s="62" t="b">
        <v>0</v>
      </c>
      <c r="BY154" s="62" t="s">
        <v>431</v>
      </c>
    </row>
    <row r="155" spans="1:77" x14ac:dyDescent="0.2">
      <c r="A155" s="18" t="s">
        <v>900</v>
      </c>
      <c r="B155" s="133" t="s">
        <v>901</v>
      </c>
      <c r="C155" s="17" t="s">
        <v>122</v>
      </c>
      <c r="D155" s="164" t="s">
        <v>195</v>
      </c>
      <c r="E155" s="164" t="s">
        <v>195</v>
      </c>
      <c r="F155" s="63" t="s">
        <v>902</v>
      </c>
      <c r="G155" s="19" t="s">
        <v>376</v>
      </c>
      <c r="H155" s="29" t="b">
        <v>1</v>
      </c>
      <c r="I155" s="37" t="s">
        <v>79</v>
      </c>
      <c r="J155" s="17" t="s">
        <v>79</v>
      </c>
      <c r="K155" s="29" t="b">
        <v>0</v>
      </c>
      <c r="L155" s="70">
        <v>0</v>
      </c>
      <c r="M155" s="19">
        <v>500</v>
      </c>
      <c r="N155" s="29">
        <v>0</v>
      </c>
      <c r="O155" s="29">
        <v>0</v>
      </c>
      <c r="P155" s="29">
        <v>0</v>
      </c>
      <c r="Q155" s="29">
        <v>0</v>
      </c>
      <c r="R155" s="31">
        <v>0.96799999999999997</v>
      </c>
      <c r="S155" s="31">
        <v>0.33</v>
      </c>
      <c r="T155" s="72">
        <v>3.2000000000000001E-2</v>
      </c>
      <c r="U155" s="69">
        <v>0</v>
      </c>
      <c r="V155" s="29">
        <v>0</v>
      </c>
      <c r="W155" s="75">
        <v>1</v>
      </c>
      <c r="X155" s="29">
        <v>0</v>
      </c>
      <c r="Y155" s="29">
        <v>0</v>
      </c>
      <c r="Z155" s="29">
        <v>0</v>
      </c>
      <c r="AA155" s="29">
        <v>0</v>
      </c>
      <c r="AB155" s="134">
        <v>15.0867</v>
      </c>
      <c r="AC155" s="134">
        <v>0.42180000000000001</v>
      </c>
      <c r="AD155" s="29" t="s">
        <v>568</v>
      </c>
      <c r="AE155" s="53">
        <v>3.5424000000000002</v>
      </c>
      <c r="AF155" s="53">
        <v>139.29750000000001</v>
      </c>
      <c r="AG155" s="53">
        <v>139.29750000000001</v>
      </c>
      <c r="AH155" s="31">
        <v>0.3</v>
      </c>
      <c r="AI155" s="31">
        <v>0.24</v>
      </c>
      <c r="AJ155" s="29">
        <v>0.18</v>
      </c>
      <c r="AK155" s="29">
        <v>0.15</v>
      </c>
      <c r="AL155" s="62">
        <v>50</v>
      </c>
      <c r="AM155" s="135">
        <v>15.6</v>
      </c>
      <c r="AN155" s="31">
        <v>7.0000000000000001E-3</v>
      </c>
      <c r="AO155" s="31">
        <v>7.0000000000000007E-2</v>
      </c>
      <c r="AP155" s="31">
        <v>7.0000000000000007E-2</v>
      </c>
      <c r="AQ155" s="31">
        <v>3.5000000000000003E-2</v>
      </c>
      <c r="AR155" s="31">
        <v>7.0000000000000007E-2</v>
      </c>
      <c r="AS155" s="130">
        <v>72.930000000000007</v>
      </c>
      <c r="AT155" s="29">
        <v>0</v>
      </c>
      <c r="AU155" s="29">
        <v>0</v>
      </c>
      <c r="AV155" s="71">
        <v>1.1377079999999999</v>
      </c>
      <c r="AW155" s="71">
        <v>0</v>
      </c>
      <c r="AX155" s="71">
        <v>0</v>
      </c>
      <c r="AY155" s="71">
        <v>0</v>
      </c>
      <c r="AZ155" s="19">
        <v>0.87</v>
      </c>
      <c r="BA155" s="65">
        <v>5.29</v>
      </c>
      <c r="BB155" s="29" t="b">
        <v>0</v>
      </c>
      <c r="BC155" s="29" t="b">
        <v>0</v>
      </c>
      <c r="BD155" s="29" t="s">
        <v>79</v>
      </c>
      <c r="BE155" s="29" t="b">
        <v>0</v>
      </c>
      <c r="BF155" s="29" t="b">
        <v>0</v>
      </c>
      <c r="BG155" s="62" t="b">
        <v>0</v>
      </c>
      <c r="BH155" s="30">
        <v>0.96799999999999997</v>
      </c>
      <c r="BI155" s="29" t="b">
        <v>0</v>
      </c>
      <c r="BJ155" s="62" t="s">
        <v>392</v>
      </c>
      <c r="BK155" s="29" t="b">
        <v>0</v>
      </c>
      <c r="BL155" s="29" t="b">
        <v>0</v>
      </c>
      <c r="BM155" s="29">
        <v>0</v>
      </c>
      <c r="BN155" s="29">
        <v>0</v>
      </c>
      <c r="BO155" s="29">
        <v>0</v>
      </c>
      <c r="BP155" s="29">
        <v>0</v>
      </c>
      <c r="BQ155" s="29" t="b">
        <v>0</v>
      </c>
      <c r="BR155" s="29">
        <v>0</v>
      </c>
      <c r="BS155" s="53">
        <v>0</v>
      </c>
      <c r="BT155" s="62" t="b">
        <v>0</v>
      </c>
      <c r="BU155" s="29" t="b">
        <v>0</v>
      </c>
      <c r="BV155" s="29" t="b">
        <v>0</v>
      </c>
      <c r="BW155" s="29" t="s">
        <v>79</v>
      </c>
      <c r="BX155" s="62" t="b">
        <v>0</v>
      </c>
      <c r="BY155" s="62" t="s">
        <v>431</v>
      </c>
    </row>
    <row r="156" spans="1:77" x14ac:dyDescent="0.2">
      <c r="A156" s="18" t="s">
        <v>903</v>
      </c>
      <c r="B156" s="133" t="s">
        <v>904</v>
      </c>
      <c r="C156" s="17" t="s">
        <v>122</v>
      </c>
      <c r="D156" s="164" t="s">
        <v>24</v>
      </c>
      <c r="E156" s="164" t="s">
        <v>24</v>
      </c>
      <c r="F156" s="63" t="s">
        <v>640</v>
      </c>
      <c r="G156" s="19" t="s">
        <v>376</v>
      </c>
      <c r="H156" s="29" t="b">
        <v>1</v>
      </c>
      <c r="I156" s="37" t="s">
        <v>79</v>
      </c>
      <c r="J156" s="17" t="s">
        <v>79</v>
      </c>
      <c r="K156" s="29" t="b">
        <v>0</v>
      </c>
      <c r="L156" s="70">
        <v>0</v>
      </c>
      <c r="M156" s="19">
        <v>500</v>
      </c>
      <c r="N156" s="29">
        <v>0</v>
      </c>
      <c r="O156" s="29">
        <v>0</v>
      </c>
      <c r="P156" s="29">
        <v>0</v>
      </c>
      <c r="Q156" s="29">
        <v>0</v>
      </c>
      <c r="R156" s="31">
        <v>0.96899999999999997</v>
      </c>
      <c r="S156" s="31">
        <v>0.47</v>
      </c>
      <c r="T156" s="72">
        <v>3.1E-2</v>
      </c>
      <c r="U156" s="29">
        <v>0</v>
      </c>
      <c r="V156" s="29">
        <v>0</v>
      </c>
      <c r="W156" s="75">
        <v>1</v>
      </c>
      <c r="X156" s="29">
        <v>0</v>
      </c>
      <c r="Y156" s="29">
        <v>0</v>
      </c>
      <c r="Z156" s="29">
        <v>0</v>
      </c>
      <c r="AA156" s="29">
        <v>0</v>
      </c>
      <c r="AB156" s="134">
        <v>123.1</v>
      </c>
      <c r="AC156" s="134">
        <v>4.87</v>
      </c>
      <c r="AD156" s="29" t="s">
        <v>568</v>
      </c>
      <c r="AE156" s="53">
        <v>3.2841</v>
      </c>
      <c r="AF156" s="53">
        <v>139.29750000000001</v>
      </c>
      <c r="AG156" s="53">
        <v>139.29750000000001</v>
      </c>
      <c r="AH156" s="31">
        <v>0.3</v>
      </c>
      <c r="AI156" s="31">
        <v>0.24</v>
      </c>
      <c r="AJ156" s="29">
        <v>0.18</v>
      </c>
      <c r="AK156" s="29">
        <v>0.15</v>
      </c>
      <c r="AL156" s="62">
        <v>58</v>
      </c>
      <c r="AM156" s="135">
        <v>12.2</v>
      </c>
      <c r="AN156" s="31">
        <v>8.0000000000000002E-3</v>
      </c>
      <c r="AO156" s="31">
        <v>0.08</v>
      </c>
      <c r="AP156" s="31">
        <v>0.08</v>
      </c>
      <c r="AQ156" s="31">
        <v>0.04</v>
      </c>
      <c r="AR156" s="31">
        <v>0.08</v>
      </c>
      <c r="AS156" s="130">
        <v>93.28</v>
      </c>
      <c r="AT156" s="29">
        <v>0</v>
      </c>
      <c r="AU156" s="29">
        <v>0</v>
      </c>
      <c r="AV156" s="71">
        <v>1.1380159999999999</v>
      </c>
      <c r="AW156" s="71">
        <v>0</v>
      </c>
      <c r="AX156" s="71">
        <v>0</v>
      </c>
      <c r="AY156" s="71">
        <v>0</v>
      </c>
      <c r="AZ156" s="19">
        <v>0.87</v>
      </c>
      <c r="BA156" s="65">
        <v>4.97</v>
      </c>
      <c r="BB156" s="29" t="b">
        <v>0</v>
      </c>
      <c r="BC156" s="29" t="b">
        <v>0</v>
      </c>
      <c r="BD156" s="29" t="s">
        <v>79</v>
      </c>
      <c r="BE156" s="29" t="b">
        <v>0</v>
      </c>
      <c r="BF156" s="29" t="b">
        <v>0</v>
      </c>
      <c r="BG156" s="62" t="b">
        <v>0</v>
      </c>
      <c r="BH156" s="30">
        <v>0.96899999999999997</v>
      </c>
      <c r="BI156" s="29" t="b">
        <v>0</v>
      </c>
      <c r="BJ156" s="62" t="s">
        <v>393</v>
      </c>
      <c r="BK156" s="29" t="b">
        <v>0</v>
      </c>
      <c r="BL156" s="29" t="b">
        <v>0</v>
      </c>
      <c r="BM156" s="29">
        <v>0</v>
      </c>
      <c r="BN156" s="29">
        <v>0</v>
      </c>
      <c r="BO156" s="29">
        <v>0</v>
      </c>
      <c r="BP156" s="29">
        <v>0</v>
      </c>
      <c r="BQ156" s="29" t="b">
        <v>0</v>
      </c>
      <c r="BR156" s="29">
        <v>0</v>
      </c>
      <c r="BS156" s="53">
        <v>0</v>
      </c>
      <c r="BT156" s="62" t="b">
        <v>0</v>
      </c>
      <c r="BU156" s="29" t="b">
        <v>0</v>
      </c>
      <c r="BV156" s="29" t="b">
        <v>0</v>
      </c>
      <c r="BW156" s="29" t="s">
        <v>79</v>
      </c>
      <c r="BX156" s="62" t="b">
        <v>0</v>
      </c>
      <c r="BY156" s="62" t="s">
        <v>431</v>
      </c>
    </row>
    <row r="157" spans="1:77" x14ac:dyDescent="0.2">
      <c r="A157" s="18" t="s">
        <v>905</v>
      </c>
      <c r="B157" s="133" t="s">
        <v>906</v>
      </c>
      <c r="C157" s="17" t="s">
        <v>122</v>
      </c>
      <c r="D157" s="164" t="s">
        <v>24</v>
      </c>
      <c r="E157" s="164" t="s">
        <v>24</v>
      </c>
      <c r="F157" s="63" t="s">
        <v>907</v>
      </c>
      <c r="G157" s="19" t="s">
        <v>376</v>
      </c>
      <c r="H157" s="29" t="b">
        <v>1</v>
      </c>
      <c r="I157" s="37" t="s">
        <v>79</v>
      </c>
      <c r="J157" s="17" t="s">
        <v>79</v>
      </c>
      <c r="K157" s="29" t="b">
        <v>0</v>
      </c>
      <c r="L157" s="70">
        <v>0</v>
      </c>
      <c r="M157" s="19">
        <v>600</v>
      </c>
      <c r="N157" s="29">
        <v>0</v>
      </c>
      <c r="O157" s="29">
        <v>0</v>
      </c>
      <c r="P157" s="29">
        <v>0</v>
      </c>
      <c r="Q157" s="29">
        <v>0</v>
      </c>
      <c r="R157" s="31">
        <v>0.96099999999999997</v>
      </c>
      <c r="S157" s="31">
        <v>0.33</v>
      </c>
      <c r="T157" s="72">
        <v>3.9E-2</v>
      </c>
      <c r="U157" s="29">
        <v>0</v>
      </c>
      <c r="V157" s="29">
        <v>0</v>
      </c>
      <c r="W157" s="75">
        <v>1</v>
      </c>
      <c r="X157" s="29">
        <v>0</v>
      </c>
      <c r="Y157" s="29">
        <v>0</v>
      </c>
      <c r="Z157" s="29">
        <v>0</v>
      </c>
      <c r="AA157" s="29">
        <v>0</v>
      </c>
      <c r="AB157" s="134">
        <v>52.126800000000003</v>
      </c>
      <c r="AC157" s="134">
        <v>7.6169000000000002</v>
      </c>
      <c r="AD157" s="29" t="s">
        <v>568</v>
      </c>
      <c r="AE157" s="53">
        <v>1.8564000000000001</v>
      </c>
      <c r="AF157" s="53">
        <v>56.929600000000001</v>
      </c>
      <c r="AG157" s="53">
        <v>56.929600000000001</v>
      </c>
      <c r="AH157" s="31">
        <v>0.3</v>
      </c>
      <c r="AI157" s="31">
        <v>0.24</v>
      </c>
      <c r="AJ157" s="29">
        <v>0.18</v>
      </c>
      <c r="AK157" s="29">
        <v>0.15</v>
      </c>
      <c r="AL157" s="62">
        <v>55</v>
      </c>
      <c r="AM157" s="135">
        <v>9</v>
      </c>
      <c r="AN157" s="31">
        <v>7.0000000000000001E-3</v>
      </c>
      <c r="AO157" s="31">
        <v>7.0000000000000007E-2</v>
      </c>
      <c r="AP157" s="31">
        <v>7.0000000000000007E-2</v>
      </c>
      <c r="AQ157" s="31">
        <v>3.5000000000000003E-2</v>
      </c>
      <c r="AR157" s="31">
        <v>7.0000000000000007E-2</v>
      </c>
      <c r="AS157" s="130">
        <v>97.17</v>
      </c>
      <c r="AT157" s="29">
        <v>0</v>
      </c>
      <c r="AU157" s="29">
        <v>0</v>
      </c>
      <c r="AV157" s="71">
        <v>0.87452999999999992</v>
      </c>
      <c r="AW157" s="71">
        <v>0</v>
      </c>
      <c r="AX157" s="71">
        <v>0</v>
      </c>
      <c r="AY157" s="71">
        <v>0</v>
      </c>
      <c r="AZ157" s="19">
        <v>0.87</v>
      </c>
      <c r="BA157" s="65">
        <v>2.63</v>
      </c>
      <c r="BB157" s="29" t="b">
        <v>0</v>
      </c>
      <c r="BC157" s="29" t="b">
        <v>0</v>
      </c>
      <c r="BD157" s="29" t="s">
        <v>79</v>
      </c>
      <c r="BE157" s="29" t="b">
        <v>0</v>
      </c>
      <c r="BF157" s="29" t="b">
        <v>0</v>
      </c>
      <c r="BG157" s="62" t="b">
        <v>0</v>
      </c>
      <c r="BH157" s="30">
        <v>0.96099999999999997</v>
      </c>
      <c r="BI157" s="29" t="b">
        <v>0</v>
      </c>
      <c r="BJ157" s="62" t="s">
        <v>391</v>
      </c>
      <c r="BK157" s="29" t="b">
        <v>0</v>
      </c>
      <c r="BL157" s="29" t="b">
        <v>0</v>
      </c>
      <c r="BM157" s="29">
        <v>0</v>
      </c>
      <c r="BN157" s="29">
        <v>0</v>
      </c>
      <c r="BO157" s="29">
        <v>0</v>
      </c>
      <c r="BP157" s="29">
        <v>0</v>
      </c>
      <c r="BQ157" s="29" t="b">
        <v>0</v>
      </c>
      <c r="BR157" s="29">
        <v>0</v>
      </c>
      <c r="BS157" s="53">
        <v>0</v>
      </c>
      <c r="BT157" s="62" t="b">
        <v>0</v>
      </c>
      <c r="BU157" s="29" t="b">
        <v>0</v>
      </c>
      <c r="BV157" s="29" t="b">
        <v>0</v>
      </c>
      <c r="BW157" s="29" t="s">
        <v>79</v>
      </c>
      <c r="BX157" s="62" t="b">
        <v>0</v>
      </c>
      <c r="BY157" s="62" t="s">
        <v>431</v>
      </c>
    </row>
    <row r="158" spans="1:77" x14ac:dyDescent="0.2">
      <c r="A158" s="18" t="s">
        <v>908</v>
      </c>
      <c r="B158" s="133" t="s">
        <v>909</v>
      </c>
      <c r="C158" s="17" t="s">
        <v>122</v>
      </c>
      <c r="D158" s="164" t="s">
        <v>24</v>
      </c>
      <c r="E158" s="164" t="s">
        <v>24</v>
      </c>
      <c r="F158" s="63" t="s">
        <v>907</v>
      </c>
      <c r="G158" s="19" t="s">
        <v>376</v>
      </c>
      <c r="H158" s="29" t="b">
        <v>1</v>
      </c>
      <c r="I158" s="37" t="s">
        <v>79</v>
      </c>
      <c r="J158" s="17" t="s">
        <v>79</v>
      </c>
      <c r="K158" s="29" t="b">
        <v>0</v>
      </c>
      <c r="L158" s="70">
        <v>0</v>
      </c>
      <c r="M158" s="19">
        <v>600</v>
      </c>
      <c r="N158" s="29">
        <v>0</v>
      </c>
      <c r="O158" s="29">
        <v>0</v>
      </c>
      <c r="P158" s="29">
        <v>0</v>
      </c>
      <c r="Q158" s="29">
        <v>0</v>
      </c>
      <c r="R158" s="31">
        <v>0.96099999999999997</v>
      </c>
      <c r="S158" s="31">
        <v>0.33</v>
      </c>
      <c r="T158" s="72">
        <v>3.9E-2</v>
      </c>
      <c r="U158" s="29">
        <v>0</v>
      </c>
      <c r="V158" s="29">
        <v>0</v>
      </c>
      <c r="W158" s="75">
        <v>1</v>
      </c>
      <c r="X158" s="29">
        <v>0</v>
      </c>
      <c r="Y158" s="29">
        <v>0</v>
      </c>
      <c r="Z158" s="29">
        <v>0</v>
      </c>
      <c r="AA158" s="29">
        <v>0</v>
      </c>
      <c r="AB158" s="134">
        <v>36.521700000000003</v>
      </c>
      <c r="AC158" s="134">
        <v>5.0824999999999996</v>
      </c>
      <c r="AD158" s="29" t="s">
        <v>568</v>
      </c>
      <c r="AE158" s="53">
        <v>1.8564000000000001</v>
      </c>
      <c r="AF158" s="53">
        <v>56.929600000000001</v>
      </c>
      <c r="AG158" s="53">
        <v>56.929600000000001</v>
      </c>
      <c r="AH158" s="31">
        <v>0.3</v>
      </c>
      <c r="AI158" s="31">
        <v>0.24</v>
      </c>
      <c r="AJ158" s="29">
        <v>0.18</v>
      </c>
      <c r="AK158" s="29">
        <v>0.15</v>
      </c>
      <c r="AL158" s="62">
        <v>55</v>
      </c>
      <c r="AM158" s="135">
        <v>10</v>
      </c>
      <c r="AN158" s="31">
        <v>7.0000000000000001E-3</v>
      </c>
      <c r="AO158" s="31">
        <v>7.0000000000000007E-2</v>
      </c>
      <c r="AP158" s="31">
        <v>7.0000000000000007E-2</v>
      </c>
      <c r="AQ158" s="31">
        <v>3.5000000000000003E-2</v>
      </c>
      <c r="AR158" s="31">
        <v>7.0000000000000007E-2</v>
      </c>
      <c r="AS158" s="130">
        <v>97.17</v>
      </c>
      <c r="AT158" s="29">
        <v>0</v>
      </c>
      <c r="AU158" s="29">
        <v>0</v>
      </c>
      <c r="AV158" s="71">
        <v>0.97170000000000001</v>
      </c>
      <c r="AW158" s="71">
        <v>0</v>
      </c>
      <c r="AX158" s="71">
        <v>0</v>
      </c>
      <c r="AY158" s="71">
        <v>0</v>
      </c>
      <c r="AZ158" s="19">
        <v>0.87</v>
      </c>
      <c r="BA158" s="65">
        <v>2.63</v>
      </c>
      <c r="BB158" s="29" t="b">
        <v>0</v>
      </c>
      <c r="BC158" s="29" t="b">
        <v>0</v>
      </c>
      <c r="BD158" s="29" t="s">
        <v>79</v>
      </c>
      <c r="BE158" s="29" t="b">
        <v>0</v>
      </c>
      <c r="BF158" s="29" t="b">
        <v>0</v>
      </c>
      <c r="BG158" s="62" t="b">
        <v>0</v>
      </c>
      <c r="BH158" s="30">
        <v>0.96099999999999997</v>
      </c>
      <c r="BI158" s="29" t="b">
        <v>0</v>
      </c>
      <c r="BJ158" s="62" t="s">
        <v>391</v>
      </c>
      <c r="BK158" s="29" t="b">
        <v>0</v>
      </c>
      <c r="BL158" s="29" t="b">
        <v>0</v>
      </c>
      <c r="BM158" s="29">
        <v>0</v>
      </c>
      <c r="BN158" s="29">
        <v>0</v>
      </c>
      <c r="BO158" s="29">
        <v>0</v>
      </c>
      <c r="BP158" s="29">
        <v>0</v>
      </c>
      <c r="BQ158" s="29" t="b">
        <v>0</v>
      </c>
      <c r="BR158" s="29">
        <v>0</v>
      </c>
      <c r="BS158" s="53">
        <v>0</v>
      </c>
      <c r="BT158" s="62" t="b">
        <v>0</v>
      </c>
      <c r="BU158" s="29" t="b">
        <v>0</v>
      </c>
      <c r="BV158" s="29" t="b">
        <v>0</v>
      </c>
      <c r="BW158" s="29" t="s">
        <v>79</v>
      </c>
      <c r="BX158" s="62" t="b">
        <v>0</v>
      </c>
      <c r="BY158" s="62" t="s">
        <v>431</v>
      </c>
    </row>
    <row r="159" spans="1:77" x14ac:dyDescent="0.2">
      <c r="A159" s="18" t="s">
        <v>910</v>
      </c>
      <c r="B159" s="133" t="s">
        <v>911</v>
      </c>
      <c r="C159" s="17" t="s">
        <v>122</v>
      </c>
      <c r="D159" s="164" t="s">
        <v>24</v>
      </c>
      <c r="E159" s="164" t="s">
        <v>24</v>
      </c>
      <c r="F159" s="63" t="s">
        <v>907</v>
      </c>
      <c r="G159" s="19" t="s">
        <v>376</v>
      </c>
      <c r="H159" s="29" t="b">
        <v>1</v>
      </c>
      <c r="I159" s="37" t="s">
        <v>79</v>
      </c>
      <c r="J159" s="17" t="s">
        <v>79</v>
      </c>
      <c r="K159" s="29" t="b">
        <v>0</v>
      </c>
      <c r="L159" s="70">
        <v>0</v>
      </c>
      <c r="M159" s="19">
        <v>600</v>
      </c>
      <c r="N159" s="29">
        <v>0</v>
      </c>
      <c r="O159" s="29">
        <v>0</v>
      </c>
      <c r="P159" s="29">
        <v>0</v>
      </c>
      <c r="Q159" s="29">
        <v>0</v>
      </c>
      <c r="R159" s="31">
        <v>0.96099999999999997</v>
      </c>
      <c r="S159" s="31">
        <v>0.33</v>
      </c>
      <c r="T159" s="72">
        <v>3.9E-2</v>
      </c>
      <c r="U159" s="29">
        <v>0</v>
      </c>
      <c r="V159" s="29">
        <v>0</v>
      </c>
      <c r="W159" s="75">
        <v>1</v>
      </c>
      <c r="X159" s="29">
        <v>0</v>
      </c>
      <c r="Y159" s="29">
        <v>0</v>
      </c>
      <c r="Z159" s="29">
        <v>0</v>
      </c>
      <c r="AA159" s="29">
        <v>0</v>
      </c>
      <c r="AB159" s="134">
        <v>40.058700000000002</v>
      </c>
      <c r="AC159" s="134">
        <v>5.8125999999999998</v>
      </c>
      <c r="AD159" s="29" t="s">
        <v>568</v>
      </c>
      <c r="AE159" s="53">
        <v>1.8564000000000001</v>
      </c>
      <c r="AF159" s="53">
        <v>56.929600000000001</v>
      </c>
      <c r="AG159" s="53">
        <v>56.929600000000001</v>
      </c>
      <c r="AH159" s="31">
        <v>0.3</v>
      </c>
      <c r="AI159" s="31">
        <v>0.24</v>
      </c>
      <c r="AJ159" s="29">
        <v>0.18</v>
      </c>
      <c r="AK159" s="29">
        <v>0.15</v>
      </c>
      <c r="AL159" s="62">
        <v>55</v>
      </c>
      <c r="AM159" s="135">
        <v>11</v>
      </c>
      <c r="AN159" s="31">
        <v>7.0000000000000001E-3</v>
      </c>
      <c r="AO159" s="31">
        <v>7.0000000000000007E-2</v>
      </c>
      <c r="AP159" s="31">
        <v>7.0000000000000007E-2</v>
      </c>
      <c r="AQ159" s="31">
        <v>3.5000000000000003E-2</v>
      </c>
      <c r="AR159" s="31">
        <v>7.0000000000000007E-2</v>
      </c>
      <c r="AS159" s="130">
        <v>97.17</v>
      </c>
      <c r="AT159" s="29">
        <v>0</v>
      </c>
      <c r="AU159" s="29">
        <v>0</v>
      </c>
      <c r="AV159" s="71">
        <v>1.06887</v>
      </c>
      <c r="AW159" s="71">
        <v>0</v>
      </c>
      <c r="AX159" s="71">
        <v>0</v>
      </c>
      <c r="AY159" s="71">
        <v>0</v>
      </c>
      <c r="AZ159" s="19">
        <v>0.87</v>
      </c>
      <c r="BA159" s="65">
        <v>2.63</v>
      </c>
      <c r="BB159" s="29" t="b">
        <v>0</v>
      </c>
      <c r="BC159" s="29" t="b">
        <v>0</v>
      </c>
      <c r="BD159" s="29" t="s">
        <v>79</v>
      </c>
      <c r="BE159" s="29" t="b">
        <v>0</v>
      </c>
      <c r="BF159" s="29" t="b">
        <v>0</v>
      </c>
      <c r="BG159" s="62" t="b">
        <v>0</v>
      </c>
      <c r="BH159" s="30">
        <v>0.96099999999999997</v>
      </c>
      <c r="BI159" s="29" t="b">
        <v>0</v>
      </c>
      <c r="BJ159" s="62" t="s">
        <v>391</v>
      </c>
      <c r="BK159" s="29" t="b">
        <v>0</v>
      </c>
      <c r="BL159" s="29" t="b">
        <v>0</v>
      </c>
      <c r="BM159" s="29">
        <v>0</v>
      </c>
      <c r="BN159" s="29">
        <v>0</v>
      </c>
      <c r="BO159" s="29">
        <v>0</v>
      </c>
      <c r="BP159" s="29">
        <v>0</v>
      </c>
      <c r="BQ159" s="29" t="b">
        <v>0</v>
      </c>
      <c r="BR159" s="29">
        <v>0</v>
      </c>
      <c r="BS159" s="53">
        <v>0</v>
      </c>
      <c r="BT159" s="62" t="b">
        <v>0</v>
      </c>
      <c r="BU159" s="29" t="b">
        <v>0</v>
      </c>
      <c r="BV159" s="29" t="b">
        <v>0</v>
      </c>
      <c r="BW159" s="29" t="s">
        <v>79</v>
      </c>
      <c r="BX159" s="62" t="b">
        <v>0</v>
      </c>
      <c r="BY159" s="62" t="s">
        <v>431</v>
      </c>
    </row>
    <row r="160" spans="1:77" x14ac:dyDescent="0.2">
      <c r="A160" s="18" t="s">
        <v>912</v>
      </c>
      <c r="B160" s="133" t="s">
        <v>913</v>
      </c>
      <c r="C160" s="17" t="s">
        <v>122</v>
      </c>
      <c r="D160" s="164" t="s">
        <v>24</v>
      </c>
      <c r="E160" s="164" t="s">
        <v>24</v>
      </c>
      <c r="F160" s="63" t="s">
        <v>907</v>
      </c>
      <c r="G160" s="19" t="s">
        <v>376</v>
      </c>
      <c r="H160" s="29" t="b">
        <v>1</v>
      </c>
      <c r="I160" s="37" t="s">
        <v>79</v>
      </c>
      <c r="J160" s="17" t="s">
        <v>79</v>
      </c>
      <c r="K160" s="29" t="b">
        <v>0</v>
      </c>
      <c r="L160" s="70">
        <v>0</v>
      </c>
      <c r="M160" s="19">
        <v>600</v>
      </c>
      <c r="N160" s="29">
        <v>0</v>
      </c>
      <c r="O160" s="29">
        <v>0</v>
      </c>
      <c r="P160" s="29">
        <v>0</v>
      </c>
      <c r="Q160" s="29">
        <v>0</v>
      </c>
      <c r="R160" s="31">
        <v>0.96099999999999997</v>
      </c>
      <c r="S160" s="31">
        <v>0.33</v>
      </c>
      <c r="T160" s="72">
        <v>3.9E-2</v>
      </c>
      <c r="U160" s="29">
        <v>0</v>
      </c>
      <c r="V160" s="29">
        <v>0</v>
      </c>
      <c r="W160" s="75">
        <v>1</v>
      </c>
      <c r="X160" s="29">
        <v>0</v>
      </c>
      <c r="Y160" s="29">
        <v>0</v>
      </c>
      <c r="Z160" s="29">
        <v>0</v>
      </c>
      <c r="AA160" s="29">
        <v>0</v>
      </c>
      <c r="AB160" s="134">
        <v>56.1783</v>
      </c>
      <c r="AC160" s="134">
        <v>10.0387</v>
      </c>
      <c r="AD160" s="29" t="s">
        <v>568</v>
      </c>
      <c r="AE160" s="53">
        <v>1.8564000000000001</v>
      </c>
      <c r="AF160" s="53">
        <v>56.929600000000001</v>
      </c>
      <c r="AG160" s="53">
        <v>56.929600000000001</v>
      </c>
      <c r="AH160" s="31">
        <v>0.3</v>
      </c>
      <c r="AI160" s="31">
        <v>0.24</v>
      </c>
      <c r="AJ160" s="29">
        <v>0.18</v>
      </c>
      <c r="AK160" s="29">
        <v>0.15</v>
      </c>
      <c r="AL160" s="62">
        <v>55</v>
      </c>
      <c r="AM160" s="135">
        <v>12</v>
      </c>
      <c r="AN160" s="31">
        <v>7.0000000000000001E-3</v>
      </c>
      <c r="AO160" s="31">
        <v>7.0000000000000007E-2</v>
      </c>
      <c r="AP160" s="31">
        <v>7.0000000000000007E-2</v>
      </c>
      <c r="AQ160" s="31">
        <v>3.5000000000000003E-2</v>
      </c>
      <c r="AR160" s="31">
        <v>7.0000000000000007E-2</v>
      </c>
      <c r="AS160" s="130">
        <v>97.17</v>
      </c>
      <c r="AT160" s="29">
        <v>0</v>
      </c>
      <c r="AU160" s="29">
        <v>0</v>
      </c>
      <c r="AV160" s="71">
        <v>1.16604</v>
      </c>
      <c r="AW160" s="71">
        <v>0</v>
      </c>
      <c r="AX160" s="71">
        <v>0</v>
      </c>
      <c r="AY160" s="71">
        <v>0</v>
      </c>
      <c r="AZ160" s="19">
        <v>0.87</v>
      </c>
      <c r="BA160" s="65">
        <v>2.63</v>
      </c>
      <c r="BB160" s="29" t="b">
        <v>0</v>
      </c>
      <c r="BC160" s="29" t="b">
        <v>0</v>
      </c>
      <c r="BD160" s="29" t="s">
        <v>79</v>
      </c>
      <c r="BE160" s="29" t="b">
        <v>0</v>
      </c>
      <c r="BF160" s="29" t="b">
        <v>0</v>
      </c>
      <c r="BG160" s="62" t="b">
        <v>0</v>
      </c>
      <c r="BH160" s="30">
        <v>0.96099999999999997</v>
      </c>
      <c r="BI160" s="29" t="b">
        <v>0</v>
      </c>
      <c r="BJ160" s="62" t="s">
        <v>391</v>
      </c>
      <c r="BK160" s="29" t="b">
        <v>0</v>
      </c>
      <c r="BL160" s="29" t="b">
        <v>0</v>
      </c>
      <c r="BM160" s="29">
        <v>0</v>
      </c>
      <c r="BN160" s="29">
        <v>0</v>
      </c>
      <c r="BO160" s="29">
        <v>0</v>
      </c>
      <c r="BP160" s="29">
        <v>0</v>
      </c>
      <c r="BQ160" s="29" t="b">
        <v>0</v>
      </c>
      <c r="BR160" s="29">
        <v>0</v>
      </c>
      <c r="BS160" s="53">
        <v>0</v>
      </c>
      <c r="BT160" s="62" t="b">
        <v>0</v>
      </c>
      <c r="BU160" s="29" t="b">
        <v>0</v>
      </c>
      <c r="BV160" s="29" t="b">
        <v>0</v>
      </c>
      <c r="BW160" s="29" t="s">
        <v>79</v>
      </c>
      <c r="BX160" s="62" t="b">
        <v>0</v>
      </c>
      <c r="BY160" s="62" t="s">
        <v>431</v>
      </c>
    </row>
    <row r="161" spans="1:77" x14ac:dyDescent="0.2">
      <c r="A161" s="18" t="s">
        <v>914</v>
      </c>
      <c r="B161" s="133" t="s">
        <v>915</v>
      </c>
      <c r="C161" s="17" t="s">
        <v>122</v>
      </c>
      <c r="D161" s="164" t="s">
        <v>24</v>
      </c>
      <c r="E161" s="164" t="s">
        <v>24</v>
      </c>
      <c r="F161" s="63" t="s">
        <v>907</v>
      </c>
      <c r="G161" s="19" t="s">
        <v>376</v>
      </c>
      <c r="H161" s="29" t="b">
        <v>1</v>
      </c>
      <c r="I161" s="37" t="s">
        <v>79</v>
      </c>
      <c r="J161" s="17" t="s">
        <v>79</v>
      </c>
      <c r="K161" s="29" t="b">
        <v>0</v>
      </c>
      <c r="L161" s="70">
        <v>0</v>
      </c>
      <c r="M161" s="19">
        <v>600</v>
      </c>
      <c r="N161" s="29">
        <v>0</v>
      </c>
      <c r="O161" s="29">
        <v>0</v>
      </c>
      <c r="P161" s="29">
        <v>0</v>
      </c>
      <c r="Q161" s="29">
        <v>0</v>
      </c>
      <c r="R161" s="31">
        <v>0.96099999999999997</v>
      </c>
      <c r="S161" s="31">
        <v>0.33</v>
      </c>
      <c r="T161" s="72">
        <v>3.9E-2</v>
      </c>
      <c r="U161" s="29">
        <v>0</v>
      </c>
      <c r="V161" s="29">
        <v>0</v>
      </c>
      <c r="W161" s="75">
        <v>1</v>
      </c>
      <c r="X161" s="29">
        <v>0</v>
      </c>
      <c r="Y161" s="29">
        <v>0</v>
      </c>
      <c r="Z161" s="29">
        <v>0</v>
      </c>
      <c r="AA161" s="29">
        <v>0</v>
      </c>
      <c r="AB161" s="134">
        <v>48.015000000000001</v>
      </c>
      <c r="AC161" s="134">
        <v>6.9008000000000003</v>
      </c>
      <c r="AD161" s="29" t="s">
        <v>568</v>
      </c>
      <c r="AE161" s="53">
        <v>1.8564000000000001</v>
      </c>
      <c r="AF161" s="53">
        <v>56.929600000000001</v>
      </c>
      <c r="AG161" s="53">
        <v>56.929600000000001</v>
      </c>
      <c r="AH161" s="31">
        <v>0.3</v>
      </c>
      <c r="AI161" s="31">
        <v>0.24</v>
      </c>
      <c r="AJ161" s="29">
        <v>0.18</v>
      </c>
      <c r="AK161" s="29">
        <v>0.15</v>
      </c>
      <c r="AL161" s="62">
        <v>55</v>
      </c>
      <c r="AM161" s="135">
        <v>13</v>
      </c>
      <c r="AN161" s="31">
        <v>7.0000000000000001E-3</v>
      </c>
      <c r="AO161" s="31">
        <v>7.0000000000000007E-2</v>
      </c>
      <c r="AP161" s="31">
        <v>7.0000000000000007E-2</v>
      </c>
      <c r="AQ161" s="31">
        <v>3.5000000000000003E-2</v>
      </c>
      <c r="AR161" s="31">
        <v>7.0000000000000007E-2</v>
      </c>
      <c r="AS161" s="130">
        <v>97.17</v>
      </c>
      <c r="AT161" s="29">
        <v>0</v>
      </c>
      <c r="AU161" s="29">
        <v>0</v>
      </c>
      <c r="AV161" s="71">
        <v>1.2632099999999999</v>
      </c>
      <c r="AW161" s="71">
        <v>0</v>
      </c>
      <c r="AX161" s="71">
        <v>0</v>
      </c>
      <c r="AY161" s="71">
        <v>0</v>
      </c>
      <c r="AZ161" s="19">
        <v>0.87</v>
      </c>
      <c r="BA161" s="65">
        <v>2.63</v>
      </c>
      <c r="BB161" s="29" t="b">
        <v>0</v>
      </c>
      <c r="BC161" s="29" t="b">
        <v>0</v>
      </c>
      <c r="BD161" s="29" t="s">
        <v>79</v>
      </c>
      <c r="BE161" s="29" t="b">
        <v>0</v>
      </c>
      <c r="BF161" s="29" t="b">
        <v>0</v>
      </c>
      <c r="BG161" s="62" t="b">
        <v>0</v>
      </c>
      <c r="BH161" s="30">
        <v>0.96099999999999997</v>
      </c>
      <c r="BI161" s="29" t="b">
        <v>0</v>
      </c>
      <c r="BJ161" s="62" t="s">
        <v>391</v>
      </c>
      <c r="BK161" s="29" t="b">
        <v>0</v>
      </c>
      <c r="BL161" s="29" t="b">
        <v>0</v>
      </c>
      <c r="BM161" s="29">
        <v>0</v>
      </c>
      <c r="BN161" s="29">
        <v>0</v>
      </c>
      <c r="BO161" s="29">
        <v>0</v>
      </c>
      <c r="BP161" s="29">
        <v>0</v>
      </c>
      <c r="BQ161" s="29" t="b">
        <v>0</v>
      </c>
      <c r="BR161" s="29">
        <v>0</v>
      </c>
      <c r="BS161" s="53">
        <v>0</v>
      </c>
      <c r="BT161" s="62" t="b">
        <v>0</v>
      </c>
      <c r="BU161" s="29" t="b">
        <v>0</v>
      </c>
      <c r="BV161" s="29" t="b">
        <v>0</v>
      </c>
      <c r="BW161" s="29" t="s">
        <v>79</v>
      </c>
      <c r="BX161" s="62" t="b">
        <v>0</v>
      </c>
      <c r="BY161" s="62" t="s">
        <v>431</v>
      </c>
    </row>
    <row r="162" spans="1:77" x14ac:dyDescent="0.2">
      <c r="A162" s="18" t="s">
        <v>916</v>
      </c>
      <c r="B162" s="133" t="s">
        <v>917</v>
      </c>
      <c r="C162" s="17" t="s">
        <v>122</v>
      </c>
      <c r="D162" s="164" t="s">
        <v>24</v>
      </c>
      <c r="E162" s="164" t="s">
        <v>24</v>
      </c>
      <c r="F162" s="63" t="s">
        <v>907</v>
      </c>
      <c r="G162" s="19" t="s">
        <v>376</v>
      </c>
      <c r="H162" s="29" t="b">
        <v>1</v>
      </c>
      <c r="I162" s="37" t="s">
        <v>79</v>
      </c>
      <c r="J162" s="17" t="s">
        <v>79</v>
      </c>
      <c r="K162" s="29" t="b">
        <v>0</v>
      </c>
      <c r="L162" s="70">
        <v>0</v>
      </c>
      <c r="M162" s="19">
        <v>600</v>
      </c>
      <c r="N162" s="29">
        <v>0</v>
      </c>
      <c r="O162" s="29">
        <v>0</v>
      </c>
      <c r="P162" s="29">
        <v>0</v>
      </c>
      <c r="Q162" s="29">
        <v>0</v>
      </c>
      <c r="R162" s="31">
        <v>0.96099999999999997</v>
      </c>
      <c r="S162" s="31">
        <v>0.33</v>
      </c>
      <c r="T162" s="72">
        <v>3.9E-2</v>
      </c>
      <c r="U162" s="29">
        <v>0</v>
      </c>
      <c r="V162" s="29">
        <v>0</v>
      </c>
      <c r="W162" s="75">
        <v>1</v>
      </c>
      <c r="X162" s="29">
        <v>0</v>
      </c>
      <c r="Y162" s="29">
        <v>0</v>
      </c>
      <c r="Z162" s="29">
        <v>0</v>
      </c>
      <c r="AA162" s="29">
        <v>0</v>
      </c>
      <c r="AB162" s="134">
        <v>39.472200000000001</v>
      </c>
      <c r="AC162" s="134">
        <v>6.2118000000000002</v>
      </c>
      <c r="AD162" s="29" t="s">
        <v>568</v>
      </c>
      <c r="AE162" s="53">
        <v>1.8564000000000001</v>
      </c>
      <c r="AF162" s="53">
        <v>56.929600000000001</v>
      </c>
      <c r="AG162" s="53">
        <v>56.929600000000001</v>
      </c>
      <c r="AH162" s="31">
        <v>0.3</v>
      </c>
      <c r="AI162" s="31">
        <v>0.24</v>
      </c>
      <c r="AJ162" s="29">
        <v>0.18</v>
      </c>
      <c r="AK162" s="29">
        <v>0.15</v>
      </c>
      <c r="AL162" s="62">
        <v>55</v>
      </c>
      <c r="AM162" s="135">
        <v>14</v>
      </c>
      <c r="AN162" s="31">
        <v>7.0000000000000001E-3</v>
      </c>
      <c r="AO162" s="31">
        <v>7.0000000000000007E-2</v>
      </c>
      <c r="AP162" s="31">
        <v>7.0000000000000007E-2</v>
      </c>
      <c r="AQ162" s="31">
        <v>3.5000000000000003E-2</v>
      </c>
      <c r="AR162" s="31">
        <v>7.0000000000000007E-2</v>
      </c>
      <c r="AS162" s="130">
        <v>97.17</v>
      </c>
      <c r="AT162" s="29">
        <v>0</v>
      </c>
      <c r="AU162" s="29">
        <v>0</v>
      </c>
      <c r="AV162" s="71">
        <v>1.3603799999999999</v>
      </c>
      <c r="AW162" s="71">
        <v>0</v>
      </c>
      <c r="AX162" s="71">
        <v>0</v>
      </c>
      <c r="AY162" s="71">
        <v>0</v>
      </c>
      <c r="AZ162" s="19">
        <v>0.87</v>
      </c>
      <c r="BA162" s="65">
        <v>2.63</v>
      </c>
      <c r="BB162" s="29" t="b">
        <v>0</v>
      </c>
      <c r="BC162" s="29" t="b">
        <v>0</v>
      </c>
      <c r="BD162" s="29" t="s">
        <v>79</v>
      </c>
      <c r="BE162" s="29" t="b">
        <v>0</v>
      </c>
      <c r="BF162" s="29" t="b">
        <v>0</v>
      </c>
      <c r="BG162" s="62" t="b">
        <v>0</v>
      </c>
      <c r="BH162" s="30">
        <v>0.96099999999999997</v>
      </c>
      <c r="BI162" s="29" t="b">
        <v>0</v>
      </c>
      <c r="BJ162" s="62" t="s">
        <v>391</v>
      </c>
      <c r="BK162" s="29" t="b">
        <v>0</v>
      </c>
      <c r="BL162" s="29" t="b">
        <v>0</v>
      </c>
      <c r="BM162" s="29">
        <v>0</v>
      </c>
      <c r="BN162" s="29">
        <v>0</v>
      </c>
      <c r="BO162" s="29">
        <v>0</v>
      </c>
      <c r="BP162" s="29">
        <v>0</v>
      </c>
      <c r="BQ162" s="29" t="b">
        <v>0</v>
      </c>
      <c r="BR162" s="29">
        <v>0</v>
      </c>
      <c r="BS162" s="53">
        <v>0</v>
      </c>
      <c r="BT162" s="62" t="b">
        <v>0</v>
      </c>
      <c r="BU162" s="29" t="b">
        <v>0</v>
      </c>
      <c r="BV162" s="29" t="b">
        <v>0</v>
      </c>
      <c r="BW162" s="29" t="s">
        <v>79</v>
      </c>
      <c r="BX162" s="62" t="b">
        <v>0</v>
      </c>
      <c r="BY162" s="62" t="s">
        <v>431</v>
      </c>
    </row>
    <row r="163" spans="1:77" x14ac:dyDescent="0.2">
      <c r="A163" s="18" t="s">
        <v>918</v>
      </c>
      <c r="B163" s="133" t="s">
        <v>919</v>
      </c>
      <c r="C163" s="17" t="s">
        <v>122</v>
      </c>
      <c r="D163" s="164" t="s">
        <v>24</v>
      </c>
      <c r="E163" s="164" t="s">
        <v>24</v>
      </c>
      <c r="F163" s="63" t="s">
        <v>907</v>
      </c>
      <c r="G163" s="19" t="s">
        <v>376</v>
      </c>
      <c r="H163" s="29" t="b">
        <v>1</v>
      </c>
      <c r="I163" s="37" t="s">
        <v>79</v>
      </c>
      <c r="J163" s="17" t="s">
        <v>79</v>
      </c>
      <c r="K163" s="29" t="b">
        <v>0</v>
      </c>
      <c r="L163" s="70">
        <v>0</v>
      </c>
      <c r="M163" s="19">
        <v>600</v>
      </c>
      <c r="N163" s="29">
        <v>0</v>
      </c>
      <c r="O163" s="29">
        <v>0</v>
      </c>
      <c r="P163" s="29">
        <v>0</v>
      </c>
      <c r="Q163" s="29">
        <v>0</v>
      </c>
      <c r="R163" s="31">
        <v>0.96099999999999997</v>
      </c>
      <c r="S163" s="31">
        <v>0.33</v>
      </c>
      <c r="T163" s="72">
        <v>3.9E-2</v>
      </c>
      <c r="U163" s="29">
        <v>0</v>
      </c>
      <c r="V163" s="29">
        <v>0</v>
      </c>
      <c r="W163" s="75">
        <v>1</v>
      </c>
      <c r="X163" s="29">
        <v>0</v>
      </c>
      <c r="Y163" s="29">
        <v>0</v>
      </c>
      <c r="Z163" s="29">
        <v>0</v>
      </c>
      <c r="AA163" s="29">
        <v>0</v>
      </c>
      <c r="AB163" s="134">
        <v>44.265700000000002</v>
      </c>
      <c r="AC163" s="134">
        <v>6.7706999999999997</v>
      </c>
      <c r="AD163" s="29" t="s">
        <v>568</v>
      </c>
      <c r="AE163" s="53">
        <v>1.8564000000000001</v>
      </c>
      <c r="AF163" s="53">
        <v>56.929600000000001</v>
      </c>
      <c r="AG163" s="53">
        <v>56.929600000000001</v>
      </c>
      <c r="AH163" s="31">
        <v>0.3</v>
      </c>
      <c r="AI163" s="31">
        <v>0.24</v>
      </c>
      <c r="AJ163" s="29">
        <v>0.18</v>
      </c>
      <c r="AK163" s="29">
        <v>0.15</v>
      </c>
      <c r="AL163" s="62">
        <v>55</v>
      </c>
      <c r="AM163" s="135">
        <v>15</v>
      </c>
      <c r="AN163" s="31">
        <v>7.0000000000000001E-3</v>
      </c>
      <c r="AO163" s="31">
        <v>7.0000000000000007E-2</v>
      </c>
      <c r="AP163" s="31">
        <v>7.0000000000000007E-2</v>
      </c>
      <c r="AQ163" s="31">
        <v>3.5000000000000003E-2</v>
      </c>
      <c r="AR163" s="31">
        <v>7.0000000000000007E-2</v>
      </c>
      <c r="AS163" s="130">
        <v>97.17</v>
      </c>
      <c r="AT163" s="29">
        <v>0</v>
      </c>
      <c r="AU163" s="29">
        <v>0</v>
      </c>
      <c r="AV163" s="71">
        <v>1.4575499999999999</v>
      </c>
      <c r="AW163" s="71">
        <v>0</v>
      </c>
      <c r="AX163" s="71">
        <v>0</v>
      </c>
      <c r="AY163" s="71">
        <v>0</v>
      </c>
      <c r="AZ163" s="19">
        <v>0.87</v>
      </c>
      <c r="BA163" s="65">
        <v>2.63</v>
      </c>
      <c r="BB163" s="29" t="b">
        <v>0</v>
      </c>
      <c r="BC163" s="29" t="b">
        <v>0</v>
      </c>
      <c r="BD163" s="29" t="s">
        <v>79</v>
      </c>
      <c r="BE163" s="29" t="b">
        <v>0</v>
      </c>
      <c r="BF163" s="29" t="b">
        <v>0</v>
      </c>
      <c r="BG163" s="62" t="b">
        <v>0</v>
      </c>
      <c r="BH163" s="30">
        <v>0.96099999999999997</v>
      </c>
      <c r="BI163" s="29" t="b">
        <v>0</v>
      </c>
      <c r="BJ163" s="62" t="s">
        <v>391</v>
      </c>
      <c r="BK163" s="29" t="b">
        <v>0</v>
      </c>
      <c r="BL163" s="29" t="b">
        <v>0</v>
      </c>
      <c r="BM163" s="29">
        <v>0</v>
      </c>
      <c r="BN163" s="29">
        <v>0</v>
      </c>
      <c r="BO163" s="29">
        <v>0</v>
      </c>
      <c r="BP163" s="29">
        <v>0</v>
      </c>
      <c r="BQ163" s="29" t="b">
        <v>0</v>
      </c>
      <c r="BR163" s="29">
        <v>0</v>
      </c>
      <c r="BS163" s="53">
        <v>0</v>
      </c>
      <c r="BT163" s="62" t="b">
        <v>0</v>
      </c>
      <c r="BU163" s="29" t="b">
        <v>0</v>
      </c>
      <c r="BV163" s="29" t="b">
        <v>0</v>
      </c>
      <c r="BW163" s="29" t="s">
        <v>79</v>
      </c>
      <c r="BX163" s="62" t="b">
        <v>0</v>
      </c>
      <c r="BY163" s="62" t="s">
        <v>431</v>
      </c>
    </row>
    <row r="164" spans="1:77" x14ac:dyDescent="0.2">
      <c r="A164" s="18" t="s">
        <v>920</v>
      </c>
      <c r="B164" s="133" t="s">
        <v>921</v>
      </c>
      <c r="C164" s="17" t="s">
        <v>122</v>
      </c>
      <c r="D164" s="164" t="s">
        <v>24</v>
      </c>
      <c r="E164" s="164" t="s">
        <v>24</v>
      </c>
      <c r="F164" s="63" t="s">
        <v>907</v>
      </c>
      <c r="G164" s="19" t="s">
        <v>376</v>
      </c>
      <c r="H164" s="29" t="b">
        <v>1</v>
      </c>
      <c r="I164" s="37" t="s">
        <v>79</v>
      </c>
      <c r="J164" s="17" t="s">
        <v>79</v>
      </c>
      <c r="K164" s="29" t="b">
        <v>0</v>
      </c>
      <c r="L164" s="70">
        <v>0</v>
      </c>
      <c r="M164" s="19">
        <v>600</v>
      </c>
      <c r="N164" s="29">
        <v>0</v>
      </c>
      <c r="O164" s="29">
        <v>0</v>
      </c>
      <c r="P164" s="29">
        <v>0</v>
      </c>
      <c r="Q164" s="29">
        <v>0</v>
      </c>
      <c r="R164" s="31">
        <v>0.96099999999999997</v>
      </c>
      <c r="S164" s="31">
        <v>0.33</v>
      </c>
      <c r="T164" s="72">
        <v>3.9E-2</v>
      </c>
      <c r="U164" s="29">
        <v>0</v>
      </c>
      <c r="V164" s="29">
        <v>0</v>
      </c>
      <c r="W164" s="75">
        <v>1</v>
      </c>
      <c r="X164" s="29">
        <v>0</v>
      </c>
      <c r="Y164" s="29">
        <v>0</v>
      </c>
      <c r="Z164" s="29">
        <v>0</v>
      </c>
      <c r="AA164" s="29">
        <v>0</v>
      </c>
      <c r="AB164" s="134">
        <v>52.764200000000002</v>
      </c>
      <c r="AC164" s="134">
        <v>8.3035999999999994</v>
      </c>
      <c r="AD164" s="29" t="s">
        <v>568</v>
      </c>
      <c r="AE164" s="53">
        <v>1.8564000000000001</v>
      </c>
      <c r="AF164" s="53">
        <v>56.929600000000001</v>
      </c>
      <c r="AG164" s="53">
        <v>56.929600000000001</v>
      </c>
      <c r="AH164" s="31">
        <v>0.3</v>
      </c>
      <c r="AI164" s="31">
        <v>0.24</v>
      </c>
      <c r="AJ164" s="29">
        <v>0.18</v>
      </c>
      <c r="AK164" s="29">
        <v>0.15</v>
      </c>
      <c r="AL164" s="62">
        <v>55</v>
      </c>
      <c r="AM164" s="135">
        <v>16</v>
      </c>
      <c r="AN164" s="31">
        <v>7.0000000000000001E-3</v>
      </c>
      <c r="AO164" s="31">
        <v>7.0000000000000007E-2</v>
      </c>
      <c r="AP164" s="31">
        <v>7.0000000000000007E-2</v>
      </c>
      <c r="AQ164" s="31">
        <v>3.5000000000000003E-2</v>
      </c>
      <c r="AR164" s="31">
        <v>7.0000000000000007E-2</v>
      </c>
      <c r="AS164" s="130">
        <v>97.17</v>
      </c>
      <c r="AT164" s="29">
        <v>0</v>
      </c>
      <c r="AU164" s="29">
        <v>0</v>
      </c>
      <c r="AV164" s="71">
        <v>1.5547200000000001</v>
      </c>
      <c r="AW164" s="71">
        <v>0</v>
      </c>
      <c r="AX164" s="71">
        <v>0</v>
      </c>
      <c r="AY164" s="71">
        <v>0</v>
      </c>
      <c r="AZ164" s="19">
        <v>0.87</v>
      </c>
      <c r="BA164" s="65">
        <v>2.63</v>
      </c>
      <c r="BB164" s="29" t="b">
        <v>0</v>
      </c>
      <c r="BC164" s="29" t="b">
        <v>0</v>
      </c>
      <c r="BD164" s="29" t="s">
        <v>79</v>
      </c>
      <c r="BE164" s="29" t="b">
        <v>0</v>
      </c>
      <c r="BF164" s="29" t="b">
        <v>0</v>
      </c>
      <c r="BG164" s="62" t="b">
        <v>0</v>
      </c>
      <c r="BH164" s="30">
        <v>0.96099999999999997</v>
      </c>
      <c r="BI164" s="29" t="b">
        <v>0</v>
      </c>
      <c r="BJ164" s="62" t="s">
        <v>391</v>
      </c>
      <c r="BK164" s="29" t="b">
        <v>0</v>
      </c>
      <c r="BL164" s="29" t="b">
        <v>0</v>
      </c>
      <c r="BM164" s="29">
        <v>0</v>
      </c>
      <c r="BN164" s="29">
        <v>0</v>
      </c>
      <c r="BO164" s="29">
        <v>0</v>
      </c>
      <c r="BP164" s="29">
        <v>0</v>
      </c>
      <c r="BQ164" s="29" t="b">
        <v>0</v>
      </c>
      <c r="BR164" s="29">
        <v>0</v>
      </c>
      <c r="BS164" s="53">
        <v>0</v>
      </c>
      <c r="BT164" s="62" t="b">
        <v>0</v>
      </c>
      <c r="BU164" s="29" t="b">
        <v>0</v>
      </c>
      <c r="BV164" s="29" t="b">
        <v>0</v>
      </c>
      <c r="BW164" s="29" t="s">
        <v>79</v>
      </c>
      <c r="BX164" s="62" t="b">
        <v>0</v>
      </c>
      <c r="BY164" s="62" t="s">
        <v>431</v>
      </c>
    </row>
    <row r="165" spans="1:77" x14ac:dyDescent="0.2">
      <c r="A165" s="18" t="s">
        <v>922</v>
      </c>
      <c r="B165" s="165" t="s">
        <v>923</v>
      </c>
      <c r="C165" s="17" t="s">
        <v>70</v>
      </c>
      <c r="D165" s="164" t="s">
        <v>26</v>
      </c>
      <c r="E165" s="164" t="s">
        <v>26</v>
      </c>
      <c r="F165" s="63" t="s">
        <v>607</v>
      </c>
      <c r="G165" s="19" t="s">
        <v>376</v>
      </c>
      <c r="H165" s="29" t="b">
        <v>0</v>
      </c>
      <c r="I165" s="37" t="s">
        <v>79</v>
      </c>
      <c r="J165" s="17" t="s">
        <v>374</v>
      </c>
      <c r="K165" s="29" t="b">
        <v>0</v>
      </c>
      <c r="L165" s="70">
        <v>0</v>
      </c>
      <c r="M165" s="19">
        <v>125</v>
      </c>
      <c r="N165" s="29">
        <v>0</v>
      </c>
      <c r="O165" s="29">
        <v>0</v>
      </c>
      <c r="P165" s="29">
        <v>0</v>
      </c>
      <c r="Q165" s="29">
        <v>0</v>
      </c>
      <c r="R165" s="31">
        <v>1</v>
      </c>
      <c r="S165" s="31">
        <v>0</v>
      </c>
      <c r="T165" s="72">
        <v>0</v>
      </c>
      <c r="U165" s="29">
        <v>0</v>
      </c>
      <c r="V165" s="29">
        <v>0</v>
      </c>
      <c r="W165" s="75">
        <v>1</v>
      </c>
      <c r="X165" s="29">
        <v>0</v>
      </c>
      <c r="Y165" s="29">
        <v>0</v>
      </c>
      <c r="Z165" s="29">
        <v>0</v>
      </c>
      <c r="AA165" s="29">
        <v>0</v>
      </c>
      <c r="AB165" s="134">
        <v>38.390999999999998</v>
      </c>
      <c r="AC165" s="134">
        <v>0</v>
      </c>
      <c r="AD165" s="29">
        <v>0</v>
      </c>
      <c r="AE165" s="53">
        <v>0</v>
      </c>
      <c r="AF165" s="53">
        <v>0</v>
      </c>
      <c r="AG165" s="53">
        <v>0</v>
      </c>
      <c r="AH165" s="31">
        <v>0.3</v>
      </c>
      <c r="AI165" s="31">
        <v>0.24</v>
      </c>
      <c r="AJ165" s="29">
        <v>0.18</v>
      </c>
      <c r="AK165" s="29">
        <v>0.15</v>
      </c>
      <c r="AL165" s="62">
        <v>35</v>
      </c>
      <c r="AM165" s="31">
        <v>0</v>
      </c>
      <c r="AN165" s="31">
        <v>1</v>
      </c>
      <c r="AO165" s="31">
        <v>1</v>
      </c>
      <c r="AP165" s="31">
        <v>1</v>
      </c>
      <c r="AQ165" s="31">
        <v>1</v>
      </c>
      <c r="AR165" s="31">
        <v>1</v>
      </c>
      <c r="AS165" s="29">
        <v>0</v>
      </c>
      <c r="AT165" s="130">
        <v>0</v>
      </c>
      <c r="AU165" s="130">
        <v>0</v>
      </c>
      <c r="AV165" s="71">
        <v>0</v>
      </c>
      <c r="AW165" s="71">
        <v>0</v>
      </c>
      <c r="AX165" s="71">
        <v>0</v>
      </c>
      <c r="AY165" s="71">
        <v>0</v>
      </c>
      <c r="AZ165" s="19">
        <v>0.9</v>
      </c>
      <c r="BA165" s="65">
        <v>2.94</v>
      </c>
      <c r="BB165" s="29" t="b">
        <v>1</v>
      </c>
      <c r="BC165" s="29" t="b">
        <v>0</v>
      </c>
      <c r="BD165" s="29" t="s">
        <v>127</v>
      </c>
      <c r="BE165" s="29" t="b">
        <v>1</v>
      </c>
      <c r="BF165" s="29" t="b">
        <v>0</v>
      </c>
      <c r="BG165" s="62" t="b">
        <v>0</v>
      </c>
      <c r="BH165" s="134">
        <v>0</v>
      </c>
      <c r="BI165" s="29" t="b">
        <v>0</v>
      </c>
      <c r="BJ165" s="74">
        <v>6.9200000000000002E-4</v>
      </c>
      <c r="BK165" s="29" t="b">
        <v>0</v>
      </c>
      <c r="BL165" s="29" t="b">
        <v>0</v>
      </c>
      <c r="BM165" s="29">
        <v>0</v>
      </c>
      <c r="BN165" s="29">
        <v>0</v>
      </c>
      <c r="BO165" s="29">
        <v>0</v>
      </c>
      <c r="BP165" s="29">
        <v>0</v>
      </c>
      <c r="BQ165" s="29" t="b">
        <v>0</v>
      </c>
      <c r="BR165" s="29">
        <v>0</v>
      </c>
      <c r="BS165" s="53">
        <v>0</v>
      </c>
      <c r="BT165" s="62" t="b">
        <v>0</v>
      </c>
      <c r="BU165" s="29" t="b">
        <v>0</v>
      </c>
      <c r="BV165" s="29" t="b">
        <v>0</v>
      </c>
      <c r="BW165" s="29" t="s">
        <v>79</v>
      </c>
      <c r="BX165" s="62" t="b">
        <v>0</v>
      </c>
      <c r="BY165" s="62" t="s">
        <v>431</v>
      </c>
    </row>
    <row r="166" spans="1:77" x14ac:dyDescent="0.2">
      <c r="A166" s="18" t="s">
        <v>924</v>
      </c>
      <c r="B166" s="165" t="s">
        <v>925</v>
      </c>
      <c r="C166" s="17" t="s">
        <v>70</v>
      </c>
      <c r="D166" s="164" t="s">
        <v>26</v>
      </c>
      <c r="E166" s="164" t="s">
        <v>26</v>
      </c>
      <c r="F166" s="63" t="s">
        <v>607</v>
      </c>
      <c r="G166" s="19" t="s">
        <v>376</v>
      </c>
      <c r="H166" s="29" t="b">
        <v>0</v>
      </c>
      <c r="I166" s="37" t="s">
        <v>79</v>
      </c>
      <c r="J166" s="17" t="s">
        <v>374</v>
      </c>
      <c r="K166" s="29" t="b">
        <v>0</v>
      </c>
      <c r="L166" s="70">
        <v>0</v>
      </c>
      <c r="M166" s="19">
        <v>125</v>
      </c>
      <c r="N166" s="29">
        <v>0</v>
      </c>
      <c r="O166" s="29">
        <v>0</v>
      </c>
      <c r="P166" s="29">
        <v>0</v>
      </c>
      <c r="Q166" s="29">
        <v>0</v>
      </c>
      <c r="R166" s="31">
        <v>1</v>
      </c>
      <c r="S166" s="31">
        <v>0</v>
      </c>
      <c r="T166" s="72">
        <v>0</v>
      </c>
      <c r="U166" s="29">
        <v>0</v>
      </c>
      <c r="V166" s="29">
        <v>0</v>
      </c>
      <c r="W166" s="75">
        <v>1</v>
      </c>
      <c r="X166" s="29">
        <v>0</v>
      </c>
      <c r="Y166" s="29">
        <v>0</v>
      </c>
      <c r="Z166" s="29">
        <v>0</v>
      </c>
      <c r="AA166" s="29">
        <v>0</v>
      </c>
      <c r="AB166" s="134">
        <v>43.191000000000003</v>
      </c>
      <c r="AC166" s="134">
        <v>0</v>
      </c>
      <c r="AD166" s="29">
        <v>0</v>
      </c>
      <c r="AE166" s="53">
        <v>0</v>
      </c>
      <c r="AF166" s="53">
        <v>0</v>
      </c>
      <c r="AG166" s="53">
        <v>0</v>
      </c>
      <c r="AH166" s="31">
        <v>0.3</v>
      </c>
      <c r="AI166" s="31">
        <v>0.24</v>
      </c>
      <c r="AJ166" s="29">
        <v>0.18</v>
      </c>
      <c r="AK166" s="29">
        <v>0.15</v>
      </c>
      <c r="AL166" s="62">
        <v>35</v>
      </c>
      <c r="AM166" s="31">
        <v>0</v>
      </c>
      <c r="AN166" s="31">
        <v>1</v>
      </c>
      <c r="AO166" s="31">
        <v>1</v>
      </c>
      <c r="AP166" s="31">
        <v>1</v>
      </c>
      <c r="AQ166" s="31">
        <v>1</v>
      </c>
      <c r="AR166" s="31">
        <v>1</v>
      </c>
      <c r="AS166" s="29">
        <v>0</v>
      </c>
      <c r="AT166" s="29">
        <v>0</v>
      </c>
      <c r="AU166" s="29">
        <v>0</v>
      </c>
      <c r="AV166" s="71">
        <v>0</v>
      </c>
      <c r="AW166" s="71">
        <v>0</v>
      </c>
      <c r="AX166" s="71">
        <v>0</v>
      </c>
      <c r="AY166" s="71">
        <v>0</v>
      </c>
      <c r="AZ166" s="19">
        <v>0.9</v>
      </c>
      <c r="BA166" s="65">
        <v>2.94</v>
      </c>
      <c r="BB166" s="29" t="b">
        <v>1</v>
      </c>
      <c r="BC166" s="29" t="b">
        <v>0</v>
      </c>
      <c r="BD166" s="29" t="s">
        <v>127</v>
      </c>
      <c r="BE166" s="29" t="b">
        <v>1</v>
      </c>
      <c r="BF166" s="29" t="b">
        <v>0</v>
      </c>
      <c r="BG166" s="62" t="b">
        <v>0</v>
      </c>
      <c r="BH166" s="134">
        <v>0</v>
      </c>
      <c r="BI166" s="29" t="b">
        <v>0</v>
      </c>
      <c r="BJ166" s="74">
        <v>6.9200000000000002E-4</v>
      </c>
      <c r="BK166" s="29" t="b">
        <v>0</v>
      </c>
      <c r="BL166" s="29" t="b">
        <v>0</v>
      </c>
      <c r="BM166" s="29">
        <v>0</v>
      </c>
      <c r="BN166" s="29">
        <v>0</v>
      </c>
      <c r="BO166" s="29">
        <v>0</v>
      </c>
      <c r="BP166" s="29">
        <v>0</v>
      </c>
      <c r="BQ166" s="29" t="b">
        <v>0</v>
      </c>
      <c r="BR166" s="29">
        <v>0</v>
      </c>
      <c r="BS166" s="53">
        <v>0</v>
      </c>
      <c r="BT166" s="62" t="b">
        <v>0</v>
      </c>
      <c r="BU166" s="29" t="b">
        <v>0</v>
      </c>
      <c r="BV166" s="29" t="b">
        <v>0</v>
      </c>
      <c r="BW166" s="29" t="s">
        <v>79</v>
      </c>
      <c r="BX166" s="62" t="b">
        <v>0</v>
      </c>
      <c r="BY166" s="62" t="s">
        <v>431</v>
      </c>
    </row>
    <row r="167" spans="1:77" x14ac:dyDescent="0.2">
      <c r="A167" s="18" t="s">
        <v>926</v>
      </c>
      <c r="B167" s="133" t="s">
        <v>1264</v>
      </c>
      <c r="C167" s="17" t="s">
        <v>71</v>
      </c>
      <c r="D167" s="164" t="s">
        <v>26</v>
      </c>
      <c r="E167" s="164" t="s">
        <v>26</v>
      </c>
      <c r="F167" s="63" t="s">
        <v>607</v>
      </c>
      <c r="G167" s="19" t="s">
        <v>376</v>
      </c>
      <c r="H167" s="29" t="b">
        <v>0</v>
      </c>
      <c r="I167" s="37" t="s">
        <v>79</v>
      </c>
      <c r="J167" s="17" t="s">
        <v>374</v>
      </c>
      <c r="K167" s="29" t="b">
        <v>0</v>
      </c>
      <c r="L167" s="70">
        <v>0</v>
      </c>
      <c r="M167" s="19">
        <v>125</v>
      </c>
      <c r="N167" s="29">
        <v>0</v>
      </c>
      <c r="O167" s="29">
        <v>0</v>
      </c>
      <c r="P167" s="29">
        <v>0</v>
      </c>
      <c r="Q167" s="29">
        <v>0</v>
      </c>
      <c r="R167" s="31">
        <v>1</v>
      </c>
      <c r="S167" s="31">
        <v>0</v>
      </c>
      <c r="T167" s="72">
        <v>0</v>
      </c>
      <c r="U167" s="29">
        <v>0</v>
      </c>
      <c r="V167" s="29">
        <v>0</v>
      </c>
      <c r="W167" s="75">
        <v>1</v>
      </c>
      <c r="X167" s="29">
        <v>0</v>
      </c>
      <c r="Y167" s="29">
        <v>0</v>
      </c>
      <c r="Z167" s="29">
        <v>0</v>
      </c>
      <c r="AA167" s="29">
        <v>0</v>
      </c>
      <c r="AB167" s="134">
        <v>18.7</v>
      </c>
      <c r="AC167" s="134">
        <v>0</v>
      </c>
      <c r="AD167" s="29">
        <v>0</v>
      </c>
      <c r="AE167" s="53">
        <v>0</v>
      </c>
      <c r="AF167" s="53">
        <v>0</v>
      </c>
      <c r="AG167" s="53">
        <v>0</v>
      </c>
      <c r="AH167" s="31">
        <v>0.3</v>
      </c>
      <c r="AI167" s="31">
        <v>0.24</v>
      </c>
      <c r="AJ167" s="29">
        <v>0.18</v>
      </c>
      <c r="AK167" s="29">
        <v>0.15</v>
      </c>
      <c r="AL167" s="62">
        <v>35</v>
      </c>
      <c r="AM167" s="31">
        <v>0</v>
      </c>
      <c r="AN167" s="31">
        <v>1</v>
      </c>
      <c r="AO167" s="31">
        <v>1</v>
      </c>
      <c r="AP167" s="31">
        <v>1</v>
      </c>
      <c r="AQ167" s="31">
        <v>1</v>
      </c>
      <c r="AR167" s="31">
        <v>1</v>
      </c>
      <c r="AS167" s="29">
        <v>0</v>
      </c>
      <c r="AT167" s="29">
        <v>0</v>
      </c>
      <c r="AU167" s="29">
        <v>0</v>
      </c>
      <c r="AV167" s="71">
        <v>0</v>
      </c>
      <c r="AW167" s="71">
        <v>0</v>
      </c>
      <c r="AX167" s="71">
        <v>0</v>
      </c>
      <c r="AY167" s="71">
        <v>0</v>
      </c>
      <c r="AZ167" s="19">
        <v>0.9</v>
      </c>
      <c r="BA167" s="65">
        <v>2.94</v>
      </c>
      <c r="BB167" s="29" t="b">
        <v>1</v>
      </c>
      <c r="BC167" s="29" t="b">
        <v>0</v>
      </c>
      <c r="BD167" s="29" t="s">
        <v>128</v>
      </c>
      <c r="BE167" s="29" t="b">
        <v>1</v>
      </c>
      <c r="BF167" s="29" t="b">
        <v>0</v>
      </c>
      <c r="BG167" s="62" t="b">
        <v>0</v>
      </c>
      <c r="BH167" s="134">
        <v>0</v>
      </c>
      <c r="BI167" s="29" t="b">
        <v>0</v>
      </c>
      <c r="BJ167" s="74">
        <v>6.9200000000000002E-4</v>
      </c>
      <c r="BK167" s="29" t="b">
        <v>0</v>
      </c>
      <c r="BL167" s="29" t="b">
        <v>0</v>
      </c>
      <c r="BM167" s="29">
        <v>0</v>
      </c>
      <c r="BN167" s="29">
        <v>0</v>
      </c>
      <c r="BO167" s="29">
        <v>0</v>
      </c>
      <c r="BP167" s="29">
        <v>0</v>
      </c>
      <c r="BQ167" s="29" t="b">
        <v>0</v>
      </c>
      <c r="BR167" s="29">
        <v>0</v>
      </c>
      <c r="BS167" s="53">
        <v>0</v>
      </c>
      <c r="BT167" s="62" t="b">
        <v>0</v>
      </c>
      <c r="BU167" s="29" t="b">
        <v>0</v>
      </c>
      <c r="BV167" s="29" t="b">
        <v>0</v>
      </c>
      <c r="BW167" s="29" t="s">
        <v>79</v>
      </c>
      <c r="BX167" s="62" t="b">
        <v>0</v>
      </c>
      <c r="BY167" s="62" t="s">
        <v>431</v>
      </c>
    </row>
    <row r="168" spans="1:77" x14ac:dyDescent="0.2">
      <c r="A168" s="18" t="s">
        <v>927</v>
      </c>
      <c r="B168" s="133" t="s">
        <v>1265</v>
      </c>
      <c r="C168" s="17" t="s">
        <v>70</v>
      </c>
      <c r="D168" s="164" t="s">
        <v>26</v>
      </c>
      <c r="E168" s="164" t="s">
        <v>26</v>
      </c>
      <c r="F168" s="63" t="s">
        <v>607</v>
      </c>
      <c r="G168" s="19" t="s">
        <v>376</v>
      </c>
      <c r="H168" s="29" t="b">
        <v>0</v>
      </c>
      <c r="I168" s="37" t="s">
        <v>79</v>
      </c>
      <c r="J168" s="17" t="s">
        <v>374</v>
      </c>
      <c r="K168" s="29" t="b">
        <v>0</v>
      </c>
      <c r="L168" s="70">
        <v>0</v>
      </c>
      <c r="M168" s="19">
        <v>125</v>
      </c>
      <c r="N168" s="29">
        <v>0</v>
      </c>
      <c r="O168" s="29">
        <v>0</v>
      </c>
      <c r="P168" s="29">
        <v>0</v>
      </c>
      <c r="Q168" s="29">
        <v>0</v>
      </c>
      <c r="R168" s="31">
        <v>1</v>
      </c>
      <c r="S168" s="31">
        <v>0</v>
      </c>
      <c r="T168" s="72">
        <v>0</v>
      </c>
      <c r="U168" s="29">
        <v>0</v>
      </c>
      <c r="V168" s="29">
        <v>0</v>
      </c>
      <c r="W168" s="75">
        <v>1</v>
      </c>
      <c r="X168" s="29">
        <v>0</v>
      </c>
      <c r="Y168" s="29">
        <v>0</v>
      </c>
      <c r="Z168" s="29">
        <v>0</v>
      </c>
      <c r="AA168" s="29">
        <v>0</v>
      </c>
      <c r="AB168" s="134">
        <v>91.9</v>
      </c>
      <c r="AC168" s="134">
        <v>3.96</v>
      </c>
      <c r="AD168" s="29">
        <v>0</v>
      </c>
      <c r="AE168" s="53">
        <v>0</v>
      </c>
      <c r="AF168" s="53">
        <v>0</v>
      </c>
      <c r="AG168" s="53">
        <v>0</v>
      </c>
      <c r="AH168" s="31">
        <v>0.3</v>
      </c>
      <c r="AI168" s="31">
        <v>0.24</v>
      </c>
      <c r="AJ168" s="29">
        <v>0.18</v>
      </c>
      <c r="AK168" s="29">
        <v>0.15</v>
      </c>
      <c r="AL168" s="62">
        <v>35</v>
      </c>
      <c r="AM168" s="31">
        <v>0</v>
      </c>
      <c r="AN168" s="31">
        <v>1</v>
      </c>
      <c r="AO168" s="31">
        <v>1</v>
      </c>
      <c r="AP168" s="31">
        <v>1</v>
      </c>
      <c r="AQ168" s="31">
        <v>1</v>
      </c>
      <c r="AR168" s="31">
        <v>1</v>
      </c>
      <c r="AS168" s="29">
        <v>0</v>
      </c>
      <c r="AT168" s="29">
        <v>0</v>
      </c>
      <c r="AU168" s="29">
        <v>0</v>
      </c>
      <c r="AV168" s="71">
        <v>0</v>
      </c>
      <c r="AW168" s="71">
        <v>0</v>
      </c>
      <c r="AX168" s="71">
        <v>0</v>
      </c>
      <c r="AY168" s="71">
        <v>0</v>
      </c>
      <c r="AZ168" s="19">
        <v>0.9</v>
      </c>
      <c r="BA168" s="65">
        <v>2.94</v>
      </c>
      <c r="BB168" s="29" t="b">
        <v>1</v>
      </c>
      <c r="BC168" s="29" t="b">
        <v>0</v>
      </c>
      <c r="BD168" s="29" t="s">
        <v>127</v>
      </c>
      <c r="BE168" s="29" t="b">
        <v>1</v>
      </c>
      <c r="BF168" s="29" t="b">
        <v>0</v>
      </c>
      <c r="BG168" s="62" t="b">
        <v>0</v>
      </c>
      <c r="BH168" s="134">
        <v>0</v>
      </c>
      <c r="BI168" s="29" t="b">
        <v>0</v>
      </c>
      <c r="BJ168" s="74">
        <v>6.9200000000000002E-4</v>
      </c>
      <c r="BK168" s="29" t="b">
        <v>0</v>
      </c>
      <c r="BL168" s="29" t="b">
        <v>0</v>
      </c>
      <c r="BM168" s="29">
        <v>0</v>
      </c>
      <c r="BN168" s="29">
        <v>0</v>
      </c>
      <c r="BO168" s="29">
        <v>0</v>
      </c>
      <c r="BP168" s="29">
        <v>0</v>
      </c>
      <c r="BQ168" s="29" t="b">
        <v>0</v>
      </c>
      <c r="BR168" s="29">
        <v>0</v>
      </c>
      <c r="BS168" s="53">
        <v>0</v>
      </c>
      <c r="BT168" s="62" t="b">
        <v>0</v>
      </c>
      <c r="BU168" s="29" t="b">
        <v>0</v>
      </c>
      <c r="BV168" s="29" t="b">
        <v>0</v>
      </c>
      <c r="BW168" s="29" t="s">
        <v>79</v>
      </c>
      <c r="BX168" s="62" t="b">
        <v>0</v>
      </c>
      <c r="BY168" s="62" t="s">
        <v>431</v>
      </c>
    </row>
    <row r="169" spans="1:77" x14ac:dyDescent="0.2">
      <c r="A169" s="18" t="s">
        <v>928</v>
      </c>
      <c r="B169" s="133" t="s">
        <v>1266</v>
      </c>
      <c r="C169" s="17" t="s">
        <v>1273</v>
      </c>
      <c r="D169" s="164" t="s">
        <v>23</v>
      </c>
      <c r="E169" s="164" t="s">
        <v>23</v>
      </c>
      <c r="F169" s="63" t="s">
        <v>620</v>
      </c>
      <c r="G169" s="19" t="s">
        <v>376</v>
      </c>
      <c r="H169" s="29" t="b">
        <v>0</v>
      </c>
      <c r="I169" s="37" t="s">
        <v>79</v>
      </c>
      <c r="J169" s="17" t="s">
        <v>1237</v>
      </c>
      <c r="K169" s="29" t="b">
        <v>0</v>
      </c>
      <c r="L169" s="70">
        <v>0</v>
      </c>
      <c r="M169" s="19">
        <v>500</v>
      </c>
      <c r="N169" s="29">
        <v>0</v>
      </c>
      <c r="O169" s="29">
        <v>0</v>
      </c>
      <c r="P169" s="29">
        <v>0</v>
      </c>
      <c r="Q169" s="29">
        <v>0</v>
      </c>
      <c r="R169" s="31">
        <v>0.97</v>
      </c>
      <c r="S169" s="31">
        <v>0</v>
      </c>
      <c r="T169" s="72">
        <v>0.03</v>
      </c>
      <c r="U169" s="29">
        <v>0</v>
      </c>
      <c r="V169" s="29">
        <v>0</v>
      </c>
      <c r="W169" s="75">
        <v>1</v>
      </c>
      <c r="X169" s="29">
        <v>0</v>
      </c>
      <c r="Y169" s="29">
        <v>0</v>
      </c>
      <c r="Z169" s="29">
        <v>0</v>
      </c>
      <c r="AA169" s="29">
        <v>0</v>
      </c>
      <c r="AB169" s="134">
        <v>14.675700000000001</v>
      </c>
      <c r="AC169" s="134">
        <v>1.89</v>
      </c>
      <c r="AD169" s="29">
        <v>0</v>
      </c>
      <c r="AE169" s="53">
        <v>0</v>
      </c>
      <c r="AF169" s="53">
        <v>0</v>
      </c>
      <c r="AG169" s="53">
        <v>0</v>
      </c>
      <c r="AH169" s="31">
        <v>0.3</v>
      </c>
      <c r="AI169" s="31">
        <v>0.24</v>
      </c>
      <c r="AJ169" s="29">
        <v>0.18</v>
      </c>
      <c r="AK169" s="29">
        <v>0.15</v>
      </c>
      <c r="AL169" s="62">
        <v>100</v>
      </c>
      <c r="AM169" s="31">
        <v>0</v>
      </c>
      <c r="AN169" s="31">
        <v>1</v>
      </c>
      <c r="AO169" s="31">
        <v>1</v>
      </c>
      <c r="AP169" s="31">
        <v>1</v>
      </c>
      <c r="AQ169" s="31">
        <v>1</v>
      </c>
      <c r="AR169" s="31">
        <v>1</v>
      </c>
      <c r="AS169" s="29">
        <v>0</v>
      </c>
      <c r="AT169" s="29">
        <v>0</v>
      </c>
      <c r="AU169" s="29">
        <v>0</v>
      </c>
      <c r="AV169" s="71">
        <v>0</v>
      </c>
      <c r="AW169" s="71">
        <v>0</v>
      </c>
      <c r="AX169" s="71">
        <v>0</v>
      </c>
      <c r="AY169" s="71">
        <v>0</v>
      </c>
      <c r="AZ169" s="19">
        <v>0.89</v>
      </c>
      <c r="BA169" s="65">
        <v>2.4</v>
      </c>
      <c r="BB169" s="29" t="b">
        <v>1</v>
      </c>
      <c r="BC169" s="29" t="s">
        <v>1277</v>
      </c>
      <c r="BD169" s="29" t="s">
        <v>1281</v>
      </c>
      <c r="BE169" s="29" t="b">
        <v>1</v>
      </c>
      <c r="BF169" s="29" t="b">
        <v>0</v>
      </c>
      <c r="BG169" s="62" t="b">
        <v>0</v>
      </c>
      <c r="BH169" s="134">
        <v>0</v>
      </c>
      <c r="BI169" s="29" t="b">
        <v>0</v>
      </c>
      <c r="BJ169" s="74">
        <v>6.9200000000000002E-4</v>
      </c>
      <c r="BK169" s="29" t="b">
        <v>0</v>
      </c>
      <c r="BL169" s="29" t="b">
        <v>0</v>
      </c>
      <c r="BM169" s="29">
        <v>0</v>
      </c>
      <c r="BN169" s="29">
        <v>0</v>
      </c>
      <c r="BO169" s="29">
        <v>0</v>
      </c>
      <c r="BP169" s="29">
        <v>0</v>
      </c>
      <c r="BQ169" s="29" t="b">
        <v>0</v>
      </c>
      <c r="BR169" s="29">
        <v>0</v>
      </c>
      <c r="BS169" s="53">
        <v>0</v>
      </c>
      <c r="BT169" s="62" t="b">
        <v>0</v>
      </c>
      <c r="BU169" s="29" t="b">
        <v>0</v>
      </c>
      <c r="BV169" s="29" t="b">
        <v>0</v>
      </c>
      <c r="BW169" s="29" t="s">
        <v>79</v>
      </c>
      <c r="BX169" s="62" t="b">
        <v>0</v>
      </c>
      <c r="BY169" s="62" t="s">
        <v>431</v>
      </c>
    </row>
    <row r="170" spans="1:77" x14ac:dyDescent="0.2">
      <c r="A170" s="18" t="s">
        <v>929</v>
      </c>
      <c r="B170" s="133" t="s">
        <v>1267</v>
      </c>
      <c r="C170" s="17" t="s">
        <v>398</v>
      </c>
      <c r="D170" s="164" t="s">
        <v>23</v>
      </c>
      <c r="E170" s="164" t="s">
        <v>23</v>
      </c>
      <c r="F170" s="63" t="s">
        <v>620</v>
      </c>
      <c r="G170" s="136" t="s">
        <v>376</v>
      </c>
      <c r="H170" s="29" t="b">
        <v>0</v>
      </c>
      <c r="I170" s="37" t="s">
        <v>79</v>
      </c>
      <c r="J170" s="17" t="s">
        <v>374</v>
      </c>
      <c r="K170" s="29" t="b">
        <v>0</v>
      </c>
      <c r="L170" s="70">
        <v>0</v>
      </c>
      <c r="M170" s="19">
        <v>500</v>
      </c>
      <c r="N170" s="29">
        <v>0</v>
      </c>
      <c r="O170" s="29">
        <v>0</v>
      </c>
      <c r="P170" s="29">
        <v>0</v>
      </c>
      <c r="Q170" s="29">
        <v>0</v>
      </c>
      <c r="R170" s="31">
        <v>0.97</v>
      </c>
      <c r="S170" s="31">
        <v>0</v>
      </c>
      <c r="T170" s="72">
        <v>0.03</v>
      </c>
      <c r="U170" s="29">
        <v>0</v>
      </c>
      <c r="V170" s="29">
        <v>0</v>
      </c>
      <c r="W170" s="75">
        <v>1</v>
      </c>
      <c r="X170" s="29">
        <v>0</v>
      </c>
      <c r="Y170" s="29">
        <v>0</v>
      </c>
      <c r="Z170" s="29">
        <v>0</v>
      </c>
      <c r="AA170" s="29">
        <v>0</v>
      </c>
      <c r="AB170" s="134">
        <v>21.724299999999999</v>
      </c>
      <c r="AC170" s="134">
        <v>1.89</v>
      </c>
      <c r="AD170" s="29">
        <v>0</v>
      </c>
      <c r="AE170" s="53">
        <v>0</v>
      </c>
      <c r="AF170" s="53">
        <v>0</v>
      </c>
      <c r="AG170" s="53">
        <v>0</v>
      </c>
      <c r="AH170" s="31">
        <v>0.3</v>
      </c>
      <c r="AI170" s="31">
        <v>0.24</v>
      </c>
      <c r="AJ170" s="29">
        <v>0.18</v>
      </c>
      <c r="AK170" s="29">
        <v>0.15</v>
      </c>
      <c r="AL170" s="62">
        <v>100</v>
      </c>
      <c r="AM170" s="31">
        <v>0</v>
      </c>
      <c r="AN170" s="31">
        <v>1</v>
      </c>
      <c r="AO170" s="31">
        <v>1</v>
      </c>
      <c r="AP170" s="31">
        <v>1</v>
      </c>
      <c r="AQ170" s="31">
        <v>1</v>
      </c>
      <c r="AR170" s="31">
        <v>1</v>
      </c>
      <c r="AS170" s="29">
        <v>0</v>
      </c>
      <c r="AT170" s="29">
        <v>0</v>
      </c>
      <c r="AU170" s="29">
        <v>0</v>
      </c>
      <c r="AV170" s="71">
        <v>0</v>
      </c>
      <c r="AW170" s="71">
        <v>0</v>
      </c>
      <c r="AX170" s="71">
        <v>0</v>
      </c>
      <c r="AY170" s="71">
        <v>0</v>
      </c>
      <c r="AZ170" s="19">
        <v>0.89</v>
      </c>
      <c r="BA170" s="65">
        <v>2.4</v>
      </c>
      <c r="BB170" s="29" t="b">
        <v>1</v>
      </c>
      <c r="BC170" s="29" t="s">
        <v>1278</v>
      </c>
      <c r="BD170" s="29" t="s">
        <v>1281</v>
      </c>
      <c r="BE170" s="29" t="b">
        <v>1</v>
      </c>
      <c r="BF170" s="29" t="b">
        <v>0</v>
      </c>
      <c r="BG170" s="62" t="b">
        <v>0</v>
      </c>
      <c r="BH170" s="134">
        <v>0</v>
      </c>
      <c r="BI170" s="29" t="b">
        <v>0</v>
      </c>
      <c r="BJ170" s="74">
        <v>6.9200000000000002E-4</v>
      </c>
      <c r="BK170" s="29" t="b">
        <v>0</v>
      </c>
      <c r="BL170" s="29" t="b">
        <v>0</v>
      </c>
      <c r="BM170" s="29">
        <v>0</v>
      </c>
      <c r="BN170" s="29">
        <v>0</v>
      </c>
      <c r="BO170" s="29">
        <v>0</v>
      </c>
      <c r="BP170" s="29">
        <v>0</v>
      </c>
      <c r="BQ170" s="29" t="b">
        <v>0</v>
      </c>
      <c r="BR170" s="29">
        <v>0</v>
      </c>
      <c r="BS170" s="53">
        <v>0</v>
      </c>
      <c r="BT170" s="62" t="b">
        <v>0</v>
      </c>
      <c r="BU170" s="29" t="b">
        <v>0</v>
      </c>
      <c r="BV170" s="29" t="b">
        <v>0</v>
      </c>
      <c r="BW170" s="29" t="s">
        <v>79</v>
      </c>
      <c r="BX170" s="62" t="b">
        <v>0</v>
      </c>
      <c r="BY170" s="62" t="s">
        <v>431</v>
      </c>
    </row>
    <row r="171" spans="1:77" x14ac:dyDescent="0.2">
      <c r="A171" s="18" t="s">
        <v>930</v>
      </c>
      <c r="B171" s="133" t="s">
        <v>1268</v>
      </c>
      <c r="C171" s="17" t="s">
        <v>75</v>
      </c>
      <c r="D171" s="164" t="s">
        <v>28</v>
      </c>
      <c r="E171" s="164" t="s">
        <v>416</v>
      </c>
      <c r="F171" s="63" t="s">
        <v>620</v>
      </c>
      <c r="G171" s="19" t="s">
        <v>376</v>
      </c>
      <c r="H171" s="37" t="s">
        <v>79</v>
      </c>
      <c r="I171" s="29" t="b">
        <v>0</v>
      </c>
      <c r="J171" s="17" t="s">
        <v>79</v>
      </c>
      <c r="K171" s="29" t="b">
        <v>0</v>
      </c>
      <c r="L171" s="70">
        <v>0</v>
      </c>
      <c r="M171" s="19">
        <v>1000</v>
      </c>
      <c r="N171" s="29">
        <v>1000</v>
      </c>
      <c r="O171" s="29">
        <v>0</v>
      </c>
      <c r="P171" s="29">
        <v>10</v>
      </c>
      <c r="Q171" s="29">
        <v>10</v>
      </c>
      <c r="R171" s="31">
        <v>0.96750000000000003</v>
      </c>
      <c r="S171" s="31">
        <v>0</v>
      </c>
      <c r="T171" s="72">
        <v>3.2500000000000001E-2</v>
      </c>
      <c r="U171" s="29">
        <v>0</v>
      </c>
      <c r="V171" s="29">
        <v>0</v>
      </c>
      <c r="W171" s="75">
        <v>1</v>
      </c>
      <c r="X171" s="29">
        <v>0</v>
      </c>
      <c r="Y171" s="29">
        <v>0</v>
      </c>
      <c r="Z171" s="29">
        <v>0</v>
      </c>
      <c r="AA171" s="29">
        <v>0</v>
      </c>
      <c r="AB171" s="134">
        <v>20.7</v>
      </c>
      <c r="AC171" s="134">
        <v>0.01</v>
      </c>
      <c r="AD171" s="29">
        <v>0</v>
      </c>
      <c r="AE171" s="53">
        <v>0</v>
      </c>
      <c r="AF171" s="53">
        <v>0</v>
      </c>
      <c r="AG171" s="53">
        <v>0</v>
      </c>
      <c r="AH171" s="31">
        <v>0.3</v>
      </c>
      <c r="AI171" s="31">
        <v>0.24</v>
      </c>
      <c r="AJ171" s="29">
        <v>0.18</v>
      </c>
      <c r="AK171" s="29">
        <v>0.15</v>
      </c>
      <c r="AL171" s="62">
        <v>100</v>
      </c>
      <c r="AM171" s="31">
        <v>0</v>
      </c>
      <c r="AN171" s="31">
        <v>1</v>
      </c>
      <c r="AO171" s="31">
        <v>1</v>
      </c>
      <c r="AP171" s="31">
        <v>1</v>
      </c>
      <c r="AQ171" s="31">
        <v>1</v>
      </c>
      <c r="AR171" s="31">
        <v>1</v>
      </c>
      <c r="AS171" s="29">
        <v>0</v>
      </c>
      <c r="AT171" s="134">
        <v>0.71722784394094707</v>
      </c>
      <c r="AU171" s="29">
        <v>0</v>
      </c>
      <c r="AV171" s="71">
        <v>0</v>
      </c>
      <c r="AW171" s="71">
        <v>0</v>
      </c>
      <c r="AX171" s="71">
        <v>0</v>
      </c>
      <c r="AY171" s="71">
        <v>0</v>
      </c>
      <c r="AZ171" s="19">
        <v>0.93</v>
      </c>
      <c r="BA171" s="65">
        <v>2.4</v>
      </c>
      <c r="BB171" s="29" t="b">
        <v>0</v>
      </c>
      <c r="BC171" s="29" t="s">
        <v>416</v>
      </c>
      <c r="BD171" s="29" t="s">
        <v>79</v>
      </c>
      <c r="BE171" s="29" t="b">
        <v>1</v>
      </c>
      <c r="BF171" s="29" t="b">
        <v>0</v>
      </c>
      <c r="BG171" s="62" t="b">
        <v>0</v>
      </c>
      <c r="BH171" s="30">
        <v>0.96750000000000003</v>
      </c>
      <c r="BI171" s="29" t="b">
        <v>0</v>
      </c>
      <c r="BJ171" s="74">
        <v>6.9200000000000002E-4</v>
      </c>
      <c r="BK171" s="29" t="b">
        <v>0</v>
      </c>
      <c r="BL171" s="29" t="b">
        <v>0</v>
      </c>
      <c r="BM171" s="29">
        <v>0</v>
      </c>
      <c r="BN171" s="29">
        <v>0</v>
      </c>
      <c r="BO171" s="29">
        <v>0</v>
      </c>
      <c r="BP171" s="29">
        <v>0</v>
      </c>
      <c r="BQ171" s="29" t="b">
        <v>0</v>
      </c>
      <c r="BR171" s="29">
        <v>0</v>
      </c>
      <c r="BS171" s="53">
        <v>0</v>
      </c>
      <c r="BT171" s="62" t="b">
        <v>0</v>
      </c>
      <c r="BU171" s="29" t="b">
        <v>0</v>
      </c>
      <c r="BV171" s="29" t="b">
        <v>0</v>
      </c>
      <c r="BW171" s="29" t="s">
        <v>79</v>
      </c>
      <c r="BX171" s="62" t="b">
        <v>0</v>
      </c>
      <c r="BY171" s="62" t="s">
        <v>431</v>
      </c>
    </row>
    <row r="172" spans="1:77" x14ac:dyDescent="0.2">
      <c r="A172" s="18" t="s">
        <v>931</v>
      </c>
      <c r="B172" s="133" t="s">
        <v>932</v>
      </c>
      <c r="C172" s="17" t="s">
        <v>122</v>
      </c>
      <c r="D172" s="164" t="s">
        <v>24</v>
      </c>
      <c r="E172" s="164" t="s">
        <v>24</v>
      </c>
      <c r="F172" s="63" t="s">
        <v>933</v>
      </c>
      <c r="G172" s="19" t="s">
        <v>376</v>
      </c>
      <c r="H172" s="29" t="b">
        <v>1</v>
      </c>
      <c r="I172" s="37" t="s">
        <v>79</v>
      </c>
      <c r="J172" s="17" t="s">
        <v>79</v>
      </c>
      <c r="K172" s="29" t="b">
        <v>0</v>
      </c>
      <c r="L172" s="70">
        <v>0</v>
      </c>
      <c r="M172" s="19">
        <v>600</v>
      </c>
      <c r="N172" s="29">
        <v>0</v>
      </c>
      <c r="O172" s="29">
        <v>0</v>
      </c>
      <c r="P172" s="29">
        <v>0</v>
      </c>
      <c r="Q172" s="29">
        <v>0</v>
      </c>
      <c r="R172" s="31">
        <v>0.96099999999999997</v>
      </c>
      <c r="S172" s="31">
        <v>0.33</v>
      </c>
      <c r="T172" s="72">
        <v>3.9E-2</v>
      </c>
      <c r="U172" s="29">
        <v>0</v>
      </c>
      <c r="V172" s="29">
        <v>0</v>
      </c>
      <c r="W172" s="75">
        <v>1</v>
      </c>
      <c r="X172" s="29">
        <v>0</v>
      </c>
      <c r="Y172" s="29">
        <v>0</v>
      </c>
      <c r="Z172" s="29">
        <v>0</v>
      </c>
      <c r="AA172" s="29">
        <v>0</v>
      </c>
      <c r="AB172" s="134">
        <v>72.503200000000007</v>
      </c>
      <c r="AC172" s="134">
        <v>9.9192999999999998</v>
      </c>
      <c r="AD172" s="29" t="s">
        <v>568</v>
      </c>
      <c r="AE172" s="53">
        <v>1.8564000000000001</v>
      </c>
      <c r="AF172" s="53">
        <v>56.929600000000001</v>
      </c>
      <c r="AG172" s="53">
        <v>56.929600000000001</v>
      </c>
      <c r="AH172" s="31">
        <v>0.3</v>
      </c>
      <c r="AI172" s="31">
        <v>0.24</v>
      </c>
      <c r="AJ172" s="29">
        <v>0.18</v>
      </c>
      <c r="AK172" s="29">
        <v>0.15</v>
      </c>
      <c r="AL172" s="62">
        <v>55</v>
      </c>
      <c r="AM172" s="135">
        <v>13.2</v>
      </c>
      <c r="AN172" s="31">
        <v>7.0000000000000001E-3</v>
      </c>
      <c r="AO172" s="31">
        <v>7.0000000000000007E-2</v>
      </c>
      <c r="AP172" s="31">
        <v>7.0000000000000007E-2</v>
      </c>
      <c r="AQ172" s="31">
        <v>3.5000000000000003E-2</v>
      </c>
      <c r="AR172" s="31">
        <v>7.0000000000000007E-2</v>
      </c>
      <c r="AS172" s="130">
        <v>97.72</v>
      </c>
      <c r="AT172" s="29">
        <v>0</v>
      </c>
      <c r="AU172" s="29">
        <v>0</v>
      </c>
      <c r="AV172" s="71">
        <v>1.2899039999999999</v>
      </c>
      <c r="AW172" s="71">
        <v>0</v>
      </c>
      <c r="AX172" s="71">
        <v>0</v>
      </c>
      <c r="AY172" s="71">
        <v>0</v>
      </c>
      <c r="AZ172" s="19">
        <v>0.87</v>
      </c>
      <c r="BA172" s="65">
        <v>2.63</v>
      </c>
      <c r="BB172" s="29" t="b">
        <v>0</v>
      </c>
      <c r="BC172" s="29" t="b">
        <v>0</v>
      </c>
      <c r="BD172" s="29" t="s">
        <v>79</v>
      </c>
      <c r="BE172" s="29" t="b">
        <v>0</v>
      </c>
      <c r="BF172" s="29" t="b">
        <v>0</v>
      </c>
      <c r="BG172" s="62" t="b">
        <v>0</v>
      </c>
      <c r="BH172" s="30">
        <v>0.96099999999999997</v>
      </c>
      <c r="BI172" s="29" t="b">
        <v>0</v>
      </c>
      <c r="BJ172" s="62" t="s">
        <v>391</v>
      </c>
      <c r="BK172" s="29" t="b">
        <v>0</v>
      </c>
      <c r="BL172" s="29" t="b">
        <v>0</v>
      </c>
      <c r="BM172" s="29">
        <v>0</v>
      </c>
      <c r="BN172" s="29">
        <v>0</v>
      </c>
      <c r="BO172" s="29">
        <v>0</v>
      </c>
      <c r="BP172" s="29">
        <v>0</v>
      </c>
      <c r="BQ172" s="29" t="b">
        <v>0</v>
      </c>
      <c r="BR172" s="29">
        <v>0</v>
      </c>
      <c r="BS172" s="53">
        <v>0</v>
      </c>
      <c r="BT172" s="62" t="b">
        <v>0</v>
      </c>
      <c r="BU172" s="29" t="b">
        <v>0</v>
      </c>
      <c r="BV172" s="29" t="b">
        <v>0</v>
      </c>
      <c r="BW172" s="29" t="s">
        <v>79</v>
      </c>
      <c r="BX172" s="62" t="b">
        <v>0</v>
      </c>
      <c r="BY172" s="62" t="s">
        <v>431</v>
      </c>
    </row>
    <row r="173" spans="1:77" x14ac:dyDescent="0.2">
      <c r="A173" s="18" t="s">
        <v>934</v>
      </c>
      <c r="B173" s="133" t="s">
        <v>935</v>
      </c>
      <c r="C173" s="17" t="s">
        <v>122</v>
      </c>
      <c r="D173" s="164" t="s">
        <v>612</v>
      </c>
      <c r="E173" s="164" t="s">
        <v>612</v>
      </c>
      <c r="F173" s="63" t="s">
        <v>936</v>
      </c>
      <c r="G173" s="19" t="s">
        <v>376</v>
      </c>
      <c r="H173" s="29" t="b">
        <v>1</v>
      </c>
      <c r="I173" s="37" t="s">
        <v>79</v>
      </c>
      <c r="J173" s="17" t="s">
        <v>79</v>
      </c>
      <c r="K173" s="29" t="b">
        <v>0</v>
      </c>
      <c r="L173" s="70">
        <v>0</v>
      </c>
      <c r="M173" s="19">
        <v>600</v>
      </c>
      <c r="N173" s="29">
        <v>0</v>
      </c>
      <c r="O173" s="29">
        <v>0</v>
      </c>
      <c r="P173" s="29">
        <v>0</v>
      </c>
      <c r="Q173" s="29">
        <v>0</v>
      </c>
      <c r="R173" s="31">
        <v>0.96099999999999997</v>
      </c>
      <c r="S173" s="31">
        <v>0.33</v>
      </c>
      <c r="T173" s="72">
        <v>3.9E-2</v>
      </c>
      <c r="U173" s="29">
        <v>0</v>
      </c>
      <c r="V173" s="29">
        <v>0</v>
      </c>
      <c r="W173" s="75">
        <v>1</v>
      </c>
      <c r="X173" s="29">
        <v>0</v>
      </c>
      <c r="Y173" s="29">
        <v>0</v>
      </c>
      <c r="Z173" s="29">
        <v>0</v>
      </c>
      <c r="AA173" s="29">
        <v>0</v>
      </c>
      <c r="AB173" s="134">
        <v>120.2011</v>
      </c>
      <c r="AC173" s="134">
        <v>4.9465000000000003</v>
      </c>
      <c r="AD173" s="29" t="s">
        <v>568</v>
      </c>
      <c r="AE173" s="53">
        <v>1.8564000000000001</v>
      </c>
      <c r="AF173" s="53">
        <v>56.929600000000001</v>
      </c>
      <c r="AG173" s="53">
        <v>56.929600000000001</v>
      </c>
      <c r="AH173" s="31">
        <v>0.3</v>
      </c>
      <c r="AI173" s="31">
        <v>0.24</v>
      </c>
      <c r="AJ173" s="29">
        <v>0.18</v>
      </c>
      <c r="AK173" s="29">
        <v>0.15</v>
      </c>
      <c r="AL173" s="62">
        <v>55</v>
      </c>
      <c r="AM173" s="135">
        <v>16.399999999999999</v>
      </c>
      <c r="AN173" s="31">
        <v>7.0000000000000001E-3</v>
      </c>
      <c r="AO173" s="31">
        <v>7.0000000000000007E-2</v>
      </c>
      <c r="AP173" s="31">
        <v>7.0000000000000007E-2</v>
      </c>
      <c r="AQ173" s="31">
        <v>3.5000000000000003E-2</v>
      </c>
      <c r="AR173" s="31">
        <v>7.0000000000000007E-2</v>
      </c>
      <c r="AS173" s="130">
        <v>93.8</v>
      </c>
      <c r="AT173" s="29">
        <v>0</v>
      </c>
      <c r="AU173" s="29">
        <v>0</v>
      </c>
      <c r="AV173" s="71">
        <v>1.5383199999999999</v>
      </c>
      <c r="AW173" s="71">
        <v>0</v>
      </c>
      <c r="AX173" s="71">
        <v>0</v>
      </c>
      <c r="AY173" s="71">
        <v>0</v>
      </c>
      <c r="AZ173" s="19">
        <v>0.87</v>
      </c>
      <c r="BA173" s="65">
        <v>2.63</v>
      </c>
      <c r="BB173" s="29" t="b">
        <v>0</v>
      </c>
      <c r="BC173" s="29" t="b">
        <v>0</v>
      </c>
      <c r="BD173" s="29" t="s">
        <v>79</v>
      </c>
      <c r="BE173" s="29" t="b">
        <v>0</v>
      </c>
      <c r="BF173" s="29" t="b">
        <v>0</v>
      </c>
      <c r="BG173" s="62" t="b">
        <v>0</v>
      </c>
      <c r="BH173" s="30">
        <v>0.96099999999999997</v>
      </c>
      <c r="BI173" s="29" t="b">
        <v>0</v>
      </c>
      <c r="BJ173" s="62" t="s">
        <v>391</v>
      </c>
      <c r="BK173" s="29" t="b">
        <v>0</v>
      </c>
      <c r="BL173" s="29" t="b">
        <v>0</v>
      </c>
      <c r="BM173" s="29">
        <v>0</v>
      </c>
      <c r="BN173" s="29">
        <v>0</v>
      </c>
      <c r="BO173" s="29">
        <v>0</v>
      </c>
      <c r="BP173" s="29">
        <v>0</v>
      </c>
      <c r="BQ173" s="29" t="b">
        <v>0</v>
      </c>
      <c r="BR173" s="29">
        <v>0</v>
      </c>
      <c r="BS173" s="53">
        <v>0</v>
      </c>
      <c r="BT173" s="62" t="b">
        <v>0</v>
      </c>
      <c r="BU173" s="29" t="b">
        <v>0</v>
      </c>
      <c r="BV173" s="29" t="b">
        <v>0</v>
      </c>
      <c r="BW173" s="29" t="s">
        <v>79</v>
      </c>
      <c r="BX173" s="62" t="b">
        <v>0</v>
      </c>
      <c r="BY173" s="62" t="s">
        <v>431</v>
      </c>
    </row>
    <row r="174" spans="1:77" x14ac:dyDescent="0.2">
      <c r="A174" s="18" t="s">
        <v>937</v>
      </c>
      <c r="B174" s="133" t="s">
        <v>938</v>
      </c>
      <c r="C174" s="17" t="s">
        <v>122</v>
      </c>
      <c r="D174" s="164" t="s">
        <v>612</v>
      </c>
      <c r="E174" s="164" t="s">
        <v>612</v>
      </c>
      <c r="F174" s="63" t="s">
        <v>936</v>
      </c>
      <c r="G174" s="19" t="s">
        <v>376</v>
      </c>
      <c r="H174" s="29" t="b">
        <v>1</v>
      </c>
      <c r="I174" s="37" t="s">
        <v>79</v>
      </c>
      <c r="J174" s="17" t="s">
        <v>79</v>
      </c>
      <c r="K174" s="29" t="b">
        <v>0</v>
      </c>
      <c r="L174" s="70">
        <v>0</v>
      </c>
      <c r="M174" s="19">
        <v>600</v>
      </c>
      <c r="N174" s="29">
        <v>0</v>
      </c>
      <c r="O174" s="29">
        <v>0</v>
      </c>
      <c r="P174" s="29">
        <v>0</v>
      </c>
      <c r="Q174" s="29">
        <v>0</v>
      </c>
      <c r="R174" s="31">
        <v>0.96099999999999997</v>
      </c>
      <c r="S174" s="31">
        <v>0.33</v>
      </c>
      <c r="T174" s="72">
        <v>3.9E-2</v>
      </c>
      <c r="U174" s="29">
        <v>0</v>
      </c>
      <c r="V174" s="29">
        <v>0</v>
      </c>
      <c r="W174" s="75">
        <v>1</v>
      </c>
      <c r="X174" s="29">
        <v>0</v>
      </c>
      <c r="Y174" s="29">
        <v>0</v>
      </c>
      <c r="Z174" s="29">
        <v>0</v>
      </c>
      <c r="AA174" s="29">
        <v>0</v>
      </c>
      <c r="AB174" s="134">
        <v>183.0317</v>
      </c>
      <c r="AC174" s="134">
        <v>9.5098000000000003</v>
      </c>
      <c r="AD174" s="29" t="s">
        <v>568</v>
      </c>
      <c r="AE174" s="53">
        <v>1.8564000000000001</v>
      </c>
      <c r="AF174" s="53">
        <v>56.929600000000001</v>
      </c>
      <c r="AG174" s="53">
        <v>56.929600000000001</v>
      </c>
      <c r="AH174" s="31">
        <v>0.3</v>
      </c>
      <c r="AI174" s="31">
        <v>0.24</v>
      </c>
      <c r="AJ174" s="29">
        <v>0.18</v>
      </c>
      <c r="AK174" s="29">
        <v>0.15</v>
      </c>
      <c r="AL174" s="62">
        <v>55</v>
      </c>
      <c r="AM174" s="135">
        <v>16.7</v>
      </c>
      <c r="AN174" s="31">
        <v>7.0000000000000001E-3</v>
      </c>
      <c r="AO174" s="31">
        <v>7.0000000000000007E-2</v>
      </c>
      <c r="AP174" s="31">
        <v>7.0000000000000007E-2</v>
      </c>
      <c r="AQ174" s="31">
        <v>3.5000000000000003E-2</v>
      </c>
      <c r="AR174" s="31">
        <v>7.0000000000000007E-2</v>
      </c>
      <c r="AS174" s="130">
        <v>93.8</v>
      </c>
      <c r="AT174" s="29">
        <v>0</v>
      </c>
      <c r="AU174" s="29">
        <v>0</v>
      </c>
      <c r="AV174" s="71">
        <v>1.56646</v>
      </c>
      <c r="AW174" s="71">
        <v>0</v>
      </c>
      <c r="AX174" s="71">
        <v>0</v>
      </c>
      <c r="AY174" s="71">
        <v>0</v>
      </c>
      <c r="AZ174" s="19">
        <v>0.87</v>
      </c>
      <c r="BA174" s="65">
        <v>2.63</v>
      </c>
      <c r="BB174" s="29" t="b">
        <v>0</v>
      </c>
      <c r="BC174" s="29" t="b">
        <v>0</v>
      </c>
      <c r="BD174" s="29" t="s">
        <v>79</v>
      </c>
      <c r="BE174" s="29" t="b">
        <v>0</v>
      </c>
      <c r="BF174" s="29" t="b">
        <v>0</v>
      </c>
      <c r="BG174" s="62" t="b">
        <v>0</v>
      </c>
      <c r="BH174" s="30">
        <v>0.96099999999999997</v>
      </c>
      <c r="BI174" s="29" t="b">
        <v>0</v>
      </c>
      <c r="BJ174" s="62" t="s">
        <v>391</v>
      </c>
      <c r="BK174" s="29" t="b">
        <v>0</v>
      </c>
      <c r="BL174" s="29" t="b">
        <v>0</v>
      </c>
      <c r="BM174" s="29">
        <v>0</v>
      </c>
      <c r="BN174" s="29">
        <v>0</v>
      </c>
      <c r="BO174" s="29">
        <v>0</v>
      </c>
      <c r="BP174" s="29">
        <v>0</v>
      </c>
      <c r="BQ174" s="29" t="b">
        <v>0</v>
      </c>
      <c r="BR174" s="29">
        <v>0</v>
      </c>
      <c r="BS174" s="53">
        <v>0</v>
      </c>
      <c r="BT174" s="62" t="b">
        <v>0</v>
      </c>
      <c r="BU174" s="29" t="b">
        <v>0</v>
      </c>
      <c r="BV174" s="29" t="b">
        <v>0</v>
      </c>
      <c r="BW174" s="29" t="s">
        <v>79</v>
      </c>
      <c r="BX174" s="62" t="b">
        <v>0</v>
      </c>
      <c r="BY174" s="62" t="s">
        <v>431</v>
      </c>
    </row>
    <row r="175" spans="1:77" x14ac:dyDescent="0.2">
      <c r="A175" s="18" t="s">
        <v>939</v>
      </c>
      <c r="B175" s="133" t="s">
        <v>940</v>
      </c>
      <c r="C175" s="17" t="s">
        <v>122</v>
      </c>
      <c r="D175" s="164" t="s">
        <v>612</v>
      </c>
      <c r="E175" s="164" t="s">
        <v>612</v>
      </c>
      <c r="F175" s="63" t="s">
        <v>941</v>
      </c>
      <c r="G175" s="19" t="s">
        <v>376</v>
      </c>
      <c r="H175" s="29" t="b">
        <v>0</v>
      </c>
      <c r="I175" s="37" t="s">
        <v>79</v>
      </c>
      <c r="J175" s="17" t="s">
        <v>79</v>
      </c>
      <c r="K175" s="29" t="b">
        <v>0</v>
      </c>
      <c r="L175" s="70">
        <v>0</v>
      </c>
      <c r="M175" s="19">
        <v>600</v>
      </c>
      <c r="N175" s="29">
        <v>0</v>
      </c>
      <c r="O175" s="29">
        <v>0</v>
      </c>
      <c r="P175" s="29">
        <v>0</v>
      </c>
      <c r="Q175" s="29">
        <v>0</v>
      </c>
      <c r="R175" s="31">
        <v>0.96099999999999997</v>
      </c>
      <c r="S175" s="31">
        <v>0.33</v>
      </c>
      <c r="T175" s="72">
        <v>3.9E-2</v>
      </c>
      <c r="U175" s="29">
        <v>0</v>
      </c>
      <c r="V175" s="29">
        <v>0</v>
      </c>
      <c r="W175" s="75">
        <v>1</v>
      </c>
      <c r="X175" s="29">
        <v>0</v>
      </c>
      <c r="Y175" s="29">
        <v>0</v>
      </c>
      <c r="Z175" s="29">
        <v>0</v>
      </c>
      <c r="AA175" s="29">
        <v>0</v>
      </c>
      <c r="AB175" s="134">
        <v>22.2577</v>
      </c>
      <c r="AC175" s="134">
        <v>2.2905000000000002</v>
      </c>
      <c r="AD175" s="29">
        <v>0</v>
      </c>
      <c r="AE175" s="53">
        <v>1.8564000000000001</v>
      </c>
      <c r="AF175" s="53">
        <v>56.929600000000001</v>
      </c>
      <c r="AG175" s="53">
        <v>56.929600000000001</v>
      </c>
      <c r="AH175" s="31">
        <v>0.3</v>
      </c>
      <c r="AI175" s="31">
        <v>0.24</v>
      </c>
      <c r="AJ175" s="29">
        <v>0.18</v>
      </c>
      <c r="AK175" s="29">
        <v>0.15</v>
      </c>
      <c r="AL175" s="62">
        <v>55</v>
      </c>
      <c r="AM175" s="135">
        <v>8.8000000000000007</v>
      </c>
      <c r="AN175" s="31">
        <v>7.0000000000000001E-3</v>
      </c>
      <c r="AO175" s="31">
        <v>7.0000000000000007E-2</v>
      </c>
      <c r="AP175" s="31">
        <v>7.0000000000000007E-2</v>
      </c>
      <c r="AQ175" s="31">
        <v>3.5000000000000003E-2</v>
      </c>
      <c r="AR175" s="31">
        <v>7.0000000000000007E-2</v>
      </c>
      <c r="AS175" s="130">
        <v>0</v>
      </c>
      <c r="AT175" s="29">
        <v>0</v>
      </c>
      <c r="AU175" s="29">
        <v>0</v>
      </c>
      <c r="AV175" s="71">
        <v>0</v>
      </c>
      <c r="AW175" s="71">
        <v>0</v>
      </c>
      <c r="AX175" s="71">
        <v>0</v>
      </c>
      <c r="AY175" s="71">
        <v>0</v>
      </c>
      <c r="AZ175" s="19">
        <v>0.87</v>
      </c>
      <c r="BA175" s="65">
        <v>2.63</v>
      </c>
      <c r="BB175" s="29" t="b">
        <v>0</v>
      </c>
      <c r="BC175" s="29" t="b">
        <v>0</v>
      </c>
      <c r="BD175" s="29" t="s">
        <v>79</v>
      </c>
      <c r="BE175" s="29" t="b">
        <v>0</v>
      </c>
      <c r="BF175" s="29" t="b">
        <v>0</v>
      </c>
      <c r="BG175" s="62" t="b">
        <v>0</v>
      </c>
      <c r="BH175" s="30">
        <v>0.96099999999999997</v>
      </c>
      <c r="BI175" s="29" t="b">
        <v>0</v>
      </c>
      <c r="BJ175" s="62" t="s">
        <v>391</v>
      </c>
      <c r="BK175" s="29" t="b">
        <v>0</v>
      </c>
      <c r="BL175" s="29" t="b">
        <v>0</v>
      </c>
      <c r="BM175" s="29">
        <v>0</v>
      </c>
      <c r="BN175" s="29">
        <v>0</v>
      </c>
      <c r="BO175" s="29">
        <v>0</v>
      </c>
      <c r="BP175" s="29">
        <v>0</v>
      </c>
      <c r="BQ175" s="29" t="b">
        <v>0</v>
      </c>
      <c r="BR175" s="29">
        <v>0</v>
      </c>
      <c r="BS175" s="53">
        <v>0</v>
      </c>
      <c r="BT175" s="62" t="b">
        <v>0</v>
      </c>
      <c r="BU175" s="29" t="b">
        <v>0</v>
      </c>
      <c r="BV175" s="29" t="b">
        <v>0</v>
      </c>
      <c r="BW175" s="29" t="s">
        <v>79</v>
      </c>
      <c r="BX175" s="62" t="b">
        <v>0</v>
      </c>
      <c r="BY175" s="62" t="s">
        <v>431</v>
      </c>
    </row>
    <row r="176" spans="1:77" x14ac:dyDescent="0.2">
      <c r="A176" s="18" t="s">
        <v>942</v>
      </c>
      <c r="B176" s="133" t="s">
        <v>943</v>
      </c>
      <c r="C176" s="17" t="s">
        <v>122</v>
      </c>
      <c r="D176" s="164" t="s">
        <v>612</v>
      </c>
      <c r="E176" s="164" t="s">
        <v>612</v>
      </c>
      <c r="F176" s="63" t="s">
        <v>941</v>
      </c>
      <c r="G176" s="19" t="s">
        <v>376</v>
      </c>
      <c r="H176" s="29" t="b">
        <v>0</v>
      </c>
      <c r="I176" s="37" t="s">
        <v>79</v>
      </c>
      <c r="J176" s="17" t="s">
        <v>79</v>
      </c>
      <c r="K176" s="29" t="b">
        <v>0</v>
      </c>
      <c r="L176" s="70">
        <v>0</v>
      </c>
      <c r="M176" s="19">
        <v>600</v>
      </c>
      <c r="N176" s="29">
        <v>0</v>
      </c>
      <c r="O176" s="29">
        <v>0</v>
      </c>
      <c r="P176" s="29">
        <v>0</v>
      </c>
      <c r="Q176" s="29">
        <v>0</v>
      </c>
      <c r="R176" s="31">
        <v>0.96099999999999997</v>
      </c>
      <c r="S176" s="31">
        <v>0.33</v>
      </c>
      <c r="T176" s="72">
        <v>3.9E-2</v>
      </c>
      <c r="U176" s="29">
        <v>0</v>
      </c>
      <c r="V176" s="29">
        <v>0</v>
      </c>
      <c r="W176" s="75">
        <v>1</v>
      </c>
      <c r="X176" s="29">
        <v>0</v>
      </c>
      <c r="Y176" s="29">
        <v>0</v>
      </c>
      <c r="Z176" s="29">
        <v>0</v>
      </c>
      <c r="AA176" s="29">
        <v>0</v>
      </c>
      <c r="AB176" s="134">
        <v>22.2578</v>
      </c>
      <c r="AC176" s="134">
        <v>2.1960999999999999</v>
      </c>
      <c r="AD176" s="29">
        <v>0</v>
      </c>
      <c r="AE176" s="53">
        <v>1.8564000000000001</v>
      </c>
      <c r="AF176" s="53">
        <v>56.929600000000001</v>
      </c>
      <c r="AG176" s="53">
        <v>56.929600000000001</v>
      </c>
      <c r="AH176" s="31">
        <v>0.3</v>
      </c>
      <c r="AI176" s="31">
        <v>0.24</v>
      </c>
      <c r="AJ176" s="29">
        <v>0.18</v>
      </c>
      <c r="AK176" s="29">
        <v>0.15</v>
      </c>
      <c r="AL176" s="62">
        <v>55</v>
      </c>
      <c r="AM176" s="135">
        <v>9.1999999999999993</v>
      </c>
      <c r="AN176" s="31">
        <v>7.0000000000000001E-3</v>
      </c>
      <c r="AO176" s="31">
        <v>7.0000000000000007E-2</v>
      </c>
      <c r="AP176" s="31">
        <v>7.0000000000000007E-2</v>
      </c>
      <c r="AQ176" s="31">
        <v>3.5000000000000003E-2</v>
      </c>
      <c r="AR176" s="31">
        <v>7.0000000000000007E-2</v>
      </c>
      <c r="AS176" s="130">
        <v>0</v>
      </c>
      <c r="AT176" s="29">
        <v>0</v>
      </c>
      <c r="AU176" s="29">
        <v>0</v>
      </c>
      <c r="AV176" s="71">
        <v>0</v>
      </c>
      <c r="AW176" s="71">
        <v>0</v>
      </c>
      <c r="AX176" s="71">
        <v>0</v>
      </c>
      <c r="AY176" s="71">
        <v>0</v>
      </c>
      <c r="AZ176" s="19">
        <v>0.87</v>
      </c>
      <c r="BA176" s="65">
        <v>2.63</v>
      </c>
      <c r="BB176" s="29" t="b">
        <v>0</v>
      </c>
      <c r="BC176" s="29" t="b">
        <v>0</v>
      </c>
      <c r="BD176" s="29" t="s">
        <v>79</v>
      </c>
      <c r="BE176" s="29" t="b">
        <v>0</v>
      </c>
      <c r="BF176" s="29" t="b">
        <v>0</v>
      </c>
      <c r="BG176" s="62" t="b">
        <v>0</v>
      </c>
      <c r="BH176" s="30">
        <v>0.96099999999999997</v>
      </c>
      <c r="BI176" s="29" t="b">
        <v>0</v>
      </c>
      <c r="BJ176" s="62" t="s">
        <v>391</v>
      </c>
      <c r="BK176" s="29" t="b">
        <v>0</v>
      </c>
      <c r="BL176" s="29" t="b">
        <v>0</v>
      </c>
      <c r="BM176" s="29">
        <v>0</v>
      </c>
      <c r="BN176" s="29">
        <v>0</v>
      </c>
      <c r="BO176" s="29">
        <v>0</v>
      </c>
      <c r="BP176" s="29">
        <v>0</v>
      </c>
      <c r="BQ176" s="29" t="b">
        <v>0</v>
      </c>
      <c r="BR176" s="29">
        <v>0</v>
      </c>
      <c r="BS176" s="53">
        <v>0</v>
      </c>
      <c r="BT176" s="62" t="b">
        <v>0</v>
      </c>
      <c r="BU176" s="29" t="b">
        <v>0</v>
      </c>
      <c r="BV176" s="29" t="b">
        <v>0</v>
      </c>
      <c r="BW176" s="29" t="s">
        <v>79</v>
      </c>
      <c r="BX176" s="62" t="b">
        <v>0</v>
      </c>
      <c r="BY176" s="62" t="s">
        <v>431</v>
      </c>
    </row>
    <row r="177" spans="1:77" x14ac:dyDescent="0.2">
      <c r="A177" s="18" t="s">
        <v>944</v>
      </c>
      <c r="B177" s="133" t="s">
        <v>1269</v>
      </c>
      <c r="C177" s="17" t="s">
        <v>1272</v>
      </c>
      <c r="D177" s="164" t="s">
        <v>27</v>
      </c>
      <c r="E177" s="164" t="s">
        <v>27</v>
      </c>
      <c r="F177" s="63" t="s">
        <v>609</v>
      </c>
      <c r="G177" s="19" t="s">
        <v>376</v>
      </c>
      <c r="H177" s="29" t="b">
        <v>0</v>
      </c>
      <c r="I177" s="37" t="s">
        <v>79</v>
      </c>
      <c r="J177" s="17" t="s">
        <v>374</v>
      </c>
      <c r="K177" s="29" t="b">
        <v>0</v>
      </c>
      <c r="L177" s="70">
        <v>0</v>
      </c>
      <c r="M177" s="19">
        <v>200</v>
      </c>
      <c r="N177" s="29">
        <v>0</v>
      </c>
      <c r="O177" s="29">
        <v>0</v>
      </c>
      <c r="P177" s="29">
        <v>0</v>
      </c>
      <c r="Q177" s="29">
        <v>0</v>
      </c>
      <c r="R177" s="31">
        <v>1</v>
      </c>
      <c r="S177" s="31">
        <v>0</v>
      </c>
      <c r="T177" s="72">
        <v>0</v>
      </c>
      <c r="U177" s="29">
        <v>0</v>
      </c>
      <c r="V177" s="29">
        <v>0</v>
      </c>
      <c r="W177" s="75">
        <v>1</v>
      </c>
      <c r="X177" s="29">
        <v>0</v>
      </c>
      <c r="Y177" s="29">
        <v>0</v>
      </c>
      <c r="Z177" s="29">
        <v>0</v>
      </c>
      <c r="AA177" s="29">
        <v>0</v>
      </c>
      <c r="AB177" s="134">
        <v>45.759099999999997</v>
      </c>
      <c r="AC177" s="134">
        <v>0</v>
      </c>
      <c r="AD177" s="29">
        <v>0</v>
      </c>
      <c r="AE177" s="53">
        <v>0</v>
      </c>
      <c r="AF177" s="53">
        <v>0</v>
      </c>
      <c r="AG177" s="53">
        <v>0</v>
      </c>
      <c r="AH177" s="31">
        <v>0.3</v>
      </c>
      <c r="AI177" s="31">
        <v>0.24</v>
      </c>
      <c r="AJ177" s="29">
        <v>0.18</v>
      </c>
      <c r="AK177" s="29">
        <v>0.15</v>
      </c>
      <c r="AL177" s="62">
        <v>30</v>
      </c>
      <c r="AM177" s="31">
        <v>0</v>
      </c>
      <c r="AN177" s="31">
        <v>1</v>
      </c>
      <c r="AO177" s="31">
        <v>1</v>
      </c>
      <c r="AP177" s="31">
        <v>1</v>
      </c>
      <c r="AQ177" s="31">
        <v>1</v>
      </c>
      <c r="AR177" s="31">
        <v>1</v>
      </c>
      <c r="AS177" s="29">
        <v>0</v>
      </c>
      <c r="AT177" s="29">
        <v>0</v>
      </c>
      <c r="AU177" s="29">
        <v>0</v>
      </c>
      <c r="AV177" s="71">
        <v>0</v>
      </c>
      <c r="AW177" s="71">
        <v>0</v>
      </c>
      <c r="AX177" s="71">
        <v>0</v>
      </c>
      <c r="AY177" s="71">
        <v>0</v>
      </c>
      <c r="AZ177" s="19">
        <v>0.93</v>
      </c>
      <c r="BA177" s="65">
        <v>0</v>
      </c>
      <c r="BB177" s="29" t="b">
        <v>1</v>
      </c>
      <c r="BC177" s="29" t="b">
        <v>0</v>
      </c>
      <c r="BD177" s="29" t="s">
        <v>139</v>
      </c>
      <c r="BE177" s="29" t="b">
        <v>1</v>
      </c>
      <c r="BF177" s="29" t="b">
        <v>0</v>
      </c>
      <c r="BG177" s="62" t="b">
        <v>0</v>
      </c>
      <c r="BH177" s="134">
        <v>0</v>
      </c>
      <c r="BI177" s="29" t="b">
        <v>0</v>
      </c>
      <c r="BJ177" s="74">
        <v>6.9200000000000002E-4</v>
      </c>
      <c r="BK177" s="29" t="b">
        <v>0</v>
      </c>
      <c r="BL177" s="29" t="b">
        <v>0</v>
      </c>
      <c r="BM177" s="29">
        <v>0</v>
      </c>
      <c r="BN177" s="29">
        <v>0</v>
      </c>
      <c r="BO177" s="29">
        <v>0</v>
      </c>
      <c r="BP177" s="29">
        <v>0</v>
      </c>
      <c r="BQ177" s="29" t="b">
        <v>0</v>
      </c>
      <c r="BR177" s="29">
        <v>0</v>
      </c>
      <c r="BS177" s="53">
        <v>0</v>
      </c>
      <c r="BT177" s="62" t="b">
        <v>0</v>
      </c>
      <c r="BU177" s="29" t="b">
        <v>0</v>
      </c>
      <c r="BV177" s="29" t="b">
        <v>0</v>
      </c>
      <c r="BW177" s="29" t="s">
        <v>79</v>
      </c>
      <c r="BX177" s="62" t="b">
        <v>0</v>
      </c>
      <c r="BY177" s="62" t="s">
        <v>431</v>
      </c>
    </row>
    <row r="178" spans="1:77" x14ac:dyDescent="0.2">
      <c r="A178" s="18" t="s">
        <v>945</v>
      </c>
      <c r="B178" s="133" t="s">
        <v>1270</v>
      </c>
      <c r="C178" s="17" t="s">
        <v>1271</v>
      </c>
      <c r="D178" s="164" t="s">
        <v>27</v>
      </c>
      <c r="E178" s="164" t="s">
        <v>27</v>
      </c>
      <c r="F178" s="63" t="s">
        <v>609</v>
      </c>
      <c r="G178" s="19" t="s">
        <v>376</v>
      </c>
      <c r="H178" s="29" t="b">
        <v>0</v>
      </c>
      <c r="I178" s="37" t="s">
        <v>79</v>
      </c>
      <c r="J178" s="17" t="s">
        <v>374</v>
      </c>
      <c r="K178" s="29" t="b">
        <v>0</v>
      </c>
      <c r="L178" s="70">
        <v>0</v>
      </c>
      <c r="M178" s="19">
        <v>200</v>
      </c>
      <c r="N178" s="29">
        <v>0</v>
      </c>
      <c r="O178" s="29">
        <v>0</v>
      </c>
      <c r="P178" s="29">
        <v>0</v>
      </c>
      <c r="Q178" s="29">
        <v>0</v>
      </c>
      <c r="R178" s="31">
        <v>1</v>
      </c>
      <c r="S178" s="31">
        <v>0</v>
      </c>
      <c r="T178" s="72">
        <v>0</v>
      </c>
      <c r="U178" s="29">
        <v>0</v>
      </c>
      <c r="V178" s="29">
        <v>0</v>
      </c>
      <c r="W178" s="75">
        <v>1</v>
      </c>
      <c r="X178" s="29">
        <v>0</v>
      </c>
      <c r="Y178" s="29">
        <v>0</v>
      </c>
      <c r="Z178" s="29">
        <v>0</v>
      </c>
      <c r="AA178" s="29">
        <v>0</v>
      </c>
      <c r="AB178" s="134">
        <v>14.2409</v>
      </c>
      <c r="AC178" s="134">
        <v>0</v>
      </c>
      <c r="AD178" s="29">
        <v>0</v>
      </c>
      <c r="AE178" s="53">
        <v>0</v>
      </c>
      <c r="AF178" s="53">
        <v>0</v>
      </c>
      <c r="AG178" s="53">
        <v>0</v>
      </c>
      <c r="AH178" s="31">
        <v>0.3</v>
      </c>
      <c r="AI178" s="31">
        <v>0.24</v>
      </c>
      <c r="AJ178" s="29">
        <v>0.18</v>
      </c>
      <c r="AK178" s="29">
        <v>0.15</v>
      </c>
      <c r="AL178" s="62">
        <v>30</v>
      </c>
      <c r="AM178" s="31">
        <v>0</v>
      </c>
      <c r="AN178" s="31">
        <v>1</v>
      </c>
      <c r="AO178" s="31">
        <v>1</v>
      </c>
      <c r="AP178" s="31">
        <v>1</v>
      </c>
      <c r="AQ178" s="31">
        <v>1</v>
      </c>
      <c r="AR178" s="31">
        <v>1</v>
      </c>
      <c r="AS178" s="29">
        <v>0</v>
      </c>
      <c r="AT178" s="29">
        <v>0</v>
      </c>
      <c r="AU178" s="29">
        <v>0</v>
      </c>
      <c r="AV178" s="71">
        <v>0</v>
      </c>
      <c r="AW178" s="71">
        <v>0</v>
      </c>
      <c r="AX178" s="71">
        <v>0</v>
      </c>
      <c r="AY178" s="71">
        <v>0</v>
      </c>
      <c r="AZ178" s="19">
        <v>0.93</v>
      </c>
      <c r="BA178" s="65">
        <v>0</v>
      </c>
      <c r="BB178" s="29" t="b">
        <v>1</v>
      </c>
      <c r="BC178" s="29" t="b">
        <v>0</v>
      </c>
      <c r="BD178" s="29" t="s">
        <v>138</v>
      </c>
      <c r="BE178" s="29" t="b">
        <v>1</v>
      </c>
      <c r="BF178" s="29" t="b">
        <v>0</v>
      </c>
      <c r="BG178" s="62" t="b">
        <v>0</v>
      </c>
      <c r="BH178" s="134">
        <v>0</v>
      </c>
      <c r="BI178" s="29" t="b">
        <v>0</v>
      </c>
      <c r="BJ178" s="74">
        <v>6.9200000000000002E-4</v>
      </c>
      <c r="BK178" s="29" t="b">
        <v>0</v>
      </c>
      <c r="BL178" s="29" t="b">
        <v>0</v>
      </c>
      <c r="BM178" s="29">
        <v>0</v>
      </c>
      <c r="BN178" s="29">
        <v>0</v>
      </c>
      <c r="BO178" s="29">
        <v>0</v>
      </c>
      <c r="BP178" s="29">
        <v>0</v>
      </c>
      <c r="BQ178" s="29" t="b">
        <v>0</v>
      </c>
      <c r="BR178" s="29">
        <v>0</v>
      </c>
      <c r="BS178" s="53">
        <v>0</v>
      </c>
      <c r="BT178" s="62" t="b">
        <v>0</v>
      </c>
      <c r="BU178" s="29" t="b">
        <v>0</v>
      </c>
      <c r="BV178" s="29" t="b">
        <v>0</v>
      </c>
      <c r="BW178" s="29" t="s">
        <v>79</v>
      </c>
      <c r="BX178" s="62" t="b">
        <v>0</v>
      </c>
      <c r="BY178" s="62" t="s">
        <v>431</v>
      </c>
    </row>
    <row r="179" spans="1:77" x14ac:dyDescent="0.2">
      <c r="A179" s="18" t="s">
        <v>946</v>
      </c>
      <c r="B179" s="133" t="s">
        <v>947</v>
      </c>
      <c r="C179" s="17" t="s">
        <v>122</v>
      </c>
      <c r="D179" s="164" t="s">
        <v>195</v>
      </c>
      <c r="E179" s="164" t="s">
        <v>195</v>
      </c>
      <c r="F179" s="63" t="s">
        <v>948</v>
      </c>
      <c r="G179" s="19" t="s">
        <v>376</v>
      </c>
      <c r="H179" s="29" t="b">
        <v>0</v>
      </c>
      <c r="I179" s="37" t="s">
        <v>79</v>
      </c>
      <c r="J179" s="17" t="s">
        <v>79</v>
      </c>
      <c r="K179" s="29" t="b">
        <v>0</v>
      </c>
      <c r="L179" s="70">
        <v>0</v>
      </c>
      <c r="M179" s="19">
        <v>100</v>
      </c>
      <c r="N179" s="29">
        <v>0</v>
      </c>
      <c r="O179" s="29">
        <v>0</v>
      </c>
      <c r="P179" s="29">
        <v>0</v>
      </c>
      <c r="Q179" s="29">
        <v>0</v>
      </c>
      <c r="R179" s="31">
        <v>0.93900000000000006</v>
      </c>
      <c r="S179" s="31">
        <v>0.5</v>
      </c>
      <c r="T179" s="72">
        <v>6.0999999999999999E-2</v>
      </c>
      <c r="U179" s="29">
        <v>0</v>
      </c>
      <c r="V179" s="29">
        <v>0</v>
      </c>
      <c r="W179" s="75">
        <v>1</v>
      </c>
      <c r="X179" s="29">
        <v>0</v>
      </c>
      <c r="Y179" s="29">
        <v>0</v>
      </c>
      <c r="Z179" s="29">
        <v>0</v>
      </c>
      <c r="AA179" s="29">
        <v>0</v>
      </c>
      <c r="AB179" s="134">
        <v>32.099699999999999</v>
      </c>
      <c r="AC179" s="134">
        <v>3.4683000000000002</v>
      </c>
      <c r="AD179" s="29" t="s">
        <v>568</v>
      </c>
      <c r="AE179" s="53">
        <v>3.2841</v>
      </c>
      <c r="AF179" s="53">
        <v>139.29750000000001</v>
      </c>
      <c r="AG179" s="53">
        <v>139.29750000000001</v>
      </c>
      <c r="AH179" s="31">
        <v>0.3</v>
      </c>
      <c r="AI179" s="31">
        <v>0.24</v>
      </c>
      <c r="AJ179" s="29">
        <v>0.18</v>
      </c>
      <c r="AK179" s="29">
        <v>0.15</v>
      </c>
      <c r="AL179" s="62">
        <v>33</v>
      </c>
      <c r="AM179" s="135">
        <v>8.3000000000000007</v>
      </c>
      <c r="AN179" s="31">
        <v>0.14000000000000001</v>
      </c>
      <c r="AO179" s="31">
        <v>1</v>
      </c>
      <c r="AP179" s="31">
        <v>1</v>
      </c>
      <c r="AQ179" s="31">
        <v>0.70000000000000007</v>
      </c>
      <c r="AR179" s="31">
        <v>1</v>
      </c>
      <c r="AS179" s="130">
        <v>76.22</v>
      </c>
      <c r="AT179" s="29">
        <v>0</v>
      </c>
      <c r="AU179" s="29">
        <v>0</v>
      </c>
      <c r="AV179" s="71">
        <v>0.63262600000000013</v>
      </c>
      <c r="AW179" s="71">
        <v>0</v>
      </c>
      <c r="AX179" s="71">
        <v>0</v>
      </c>
      <c r="AY179" s="71">
        <v>0</v>
      </c>
      <c r="AZ179" s="19">
        <v>0.88</v>
      </c>
      <c r="BA179" s="65">
        <v>4.97</v>
      </c>
      <c r="BB179" s="29" t="b">
        <v>0</v>
      </c>
      <c r="BC179" s="29" t="b">
        <v>0</v>
      </c>
      <c r="BD179" s="29" t="s">
        <v>79</v>
      </c>
      <c r="BE179" s="29" t="b">
        <v>0</v>
      </c>
      <c r="BF179" s="29" t="b">
        <v>0</v>
      </c>
      <c r="BG179" s="62" t="b">
        <v>0</v>
      </c>
      <c r="BH179" s="30">
        <v>0.93900000000000006</v>
      </c>
      <c r="BI179" s="29" t="b">
        <v>0</v>
      </c>
      <c r="BJ179" s="62" t="s">
        <v>393</v>
      </c>
      <c r="BK179" s="29" t="b">
        <v>0</v>
      </c>
      <c r="BL179" s="29" t="b">
        <v>0</v>
      </c>
      <c r="BM179" s="29">
        <v>0</v>
      </c>
      <c r="BN179" s="29">
        <v>0</v>
      </c>
      <c r="BO179" s="29">
        <v>0</v>
      </c>
      <c r="BP179" s="29">
        <v>0</v>
      </c>
      <c r="BQ179" s="29" t="b">
        <v>0</v>
      </c>
      <c r="BR179" s="29">
        <v>0</v>
      </c>
      <c r="BS179" s="53">
        <v>0</v>
      </c>
      <c r="BT179" s="62" t="b">
        <v>0</v>
      </c>
      <c r="BU179" s="29" t="b">
        <v>0</v>
      </c>
      <c r="BV179" s="29" t="b">
        <v>0</v>
      </c>
      <c r="BW179" s="29" t="s">
        <v>79</v>
      </c>
      <c r="BX179" s="62" t="b">
        <v>0</v>
      </c>
      <c r="BY179" s="62" t="s">
        <v>431</v>
      </c>
    </row>
    <row r="180" spans="1:77" x14ac:dyDescent="0.2">
      <c r="A180" s="18" t="s">
        <v>949</v>
      </c>
      <c r="B180" s="133" t="s">
        <v>950</v>
      </c>
      <c r="C180" s="17" t="s">
        <v>122</v>
      </c>
      <c r="D180" s="164" t="s">
        <v>195</v>
      </c>
      <c r="E180" s="164" t="s">
        <v>195</v>
      </c>
      <c r="F180" s="63" t="s">
        <v>948</v>
      </c>
      <c r="G180" s="19" t="s">
        <v>376</v>
      </c>
      <c r="H180" s="29" t="b">
        <v>0</v>
      </c>
      <c r="I180" s="37" t="s">
        <v>79</v>
      </c>
      <c r="J180" s="17" t="s">
        <v>79</v>
      </c>
      <c r="K180" s="29" t="b">
        <v>0</v>
      </c>
      <c r="L180" s="70">
        <v>0</v>
      </c>
      <c r="M180" s="19">
        <v>100</v>
      </c>
      <c r="N180" s="29">
        <v>0</v>
      </c>
      <c r="O180" s="29">
        <v>0</v>
      </c>
      <c r="P180" s="29">
        <v>0</v>
      </c>
      <c r="Q180" s="29">
        <v>0</v>
      </c>
      <c r="R180" s="31">
        <v>0.93900000000000006</v>
      </c>
      <c r="S180" s="31">
        <v>0.5</v>
      </c>
      <c r="T180" s="72">
        <v>6.0999999999999999E-2</v>
      </c>
      <c r="U180" s="29">
        <v>0</v>
      </c>
      <c r="V180" s="29">
        <v>0</v>
      </c>
      <c r="W180" s="75">
        <v>1</v>
      </c>
      <c r="X180" s="29">
        <v>0</v>
      </c>
      <c r="Y180" s="29">
        <v>0</v>
      </c>
      <c r="Z180" s="29">
        <v>0</v>
      </c>
      <c r="AA180" s="29">
        <v>0</v>
      </c>
      <c r="AB180" s="134">
        <v>22.432400000000001</v>
      </c>
      <c r="AC180" s="134">
        <v>3.8485</v>
      </c>
      <c r="AD180" s="29" t="s">
        <v>568</v>
      </c>
      <c r="AE180" s="53">
        <v>3.2841</v>
      </c>
      <c r="AF180" s="53">
        <v>139.29750000000001</v>
      </c>
      <c r="AG180" s="53">
        <v>139.29750000000001</v>
      </c>
      <c r="AH180" s="31">
        <v>0.3</v>
      </c>
      <c r="AI180" s="31">
        <v>0.24</v>
      </c>
      <c r="AJ180" s="29">
        <v>0.18</v>
      </c>
      <c r="AK180" s="29">
        <v>0.15</v>
      </c>
      <c r="AL180" s="62">
        <v>33</v>
      </c>
      <c r="AM180" s="135">
        <v>9.4</v>
      </c>
      <c r="AN180" s="31">
        <v>0.14000000000000001</v>
      </c>
      <c r="AO180" s="31">
        <v>1</v>
      </c>
      <c r="AP180" s="31">
        <v>1</v>
      </c>
      <c r="AQ180" s="31">
        <v>0.70000000000000007</v>
      </c>
      <c r="AR180" s="31">
        <v>1</v>
      </c>
      <c r="AS180" s="130">
        <v>76.22</v>
      </c>
      <c r="AT180" s="29">
        <v>0</v>
      </c>
      <c r="AU180" s="29">
        <v>0</v>
      </c>
      <c r="AV180" s="71">
        <v>0.71646799999999999</v>
      </c>
      <c r="AW180" s="71">
        <v>0</v>
      </c>
      <c r="AX180" s="71">
        <v>0</v>
      </c>
      <c r="AY180" s="71">
        <v>0</v>
      </c>
      <c r="AZ180" s="19">
        <v>0.88</v>
      </c>
      <c r="BA180" s="65">
        <v>4.97</v>
      </c>
      <c r="BB180" s="29" t="b">
        <v>0</v>
      </c>
      <c r="BC180" s="29" t="b">
        <v>0</v>
      </c>
      <c r="BD180" s="29" t="s">
        <v>79</v>
      </c>
      <c r="BE180" s="29" t="b">
        <v>0</v>
      </c>
      <c r="BF180" s="29" t="b">
        <v>0</v>
      </c>
      <c r="BG180" s="62" t="b">
        <v>0</v>
      </c>
      <c r="BH180" s="30">
        <v>0.93900000000000006</v>
      </c>
      <c r="BI180" s="29" t="b">
        <v>0</v>
      </c>
      <c r="BJ180" s="62" t="s">
        <v>393</v>
      </c>
      <c r="BK180" s="29" t="b">
        <v>0</v>
      </c>
      <c r="BL180" s="29" t="b">
        <v>0</v>
      </c>
      <c r="BM180" s="29">
        <v>0</v>
      </c>
      <c r="BN180" s="29">
        <v>0</v>
      </c>
      <c r="BO180" s="29">
        <v>0</v>
      </c>
      <c r="BP180" s="29">
        <v>0</v>
      </c>
      <c r="BQ180" s="29" t="b">
        <v>0</v>
      </c>
      <c r="BR180" s="29">
        <v>0</v>
      </c>
      <c r="BS180" s="53">
        <v>0</v>
      </c>
      <c r="BT180" s="62" t="b">
        <v>0</v>
      </c>
      <c r="BU180" s="29" t="b">
        <v>0</v>
      </c>
      <c r="BV180" s="29" t="b">
        <v>0</v>
      </c>
      <c r="BW180" s="29" t="s">
        <v>79</v>
      </c>
      <c r="BX180" s="62" t="b">
        <v>0</v>
      </c>
      <c r="BY180" s="62" t="s">
        <v>431</v>
      </c>
    </row>
  </sheetData>
  <mergeCells count="9">
    <mergeCell ref="G1:L1"/>
    <mergeCell ref="BU1:BX1"/>
    <mergeCell ref="A1:F1"/>
    <mergeCell ref="M1:T1"/>
    <mergeCell ref="U1:AL1"/>
    <mergeCell ref="AM1:BA1"/>
    <mergeCell ref="BB1:BG1"/>
    <mergeCell ref="BH1:BJ1"/>
    <mergeCell ref="BK1:BT1"/>
  </mergeCells>
  <phoneticPr fontId="7" type="noConversion"/>
  <conditionalFormatting sqref="H3:I180">
    <cfRule type="cellIs" dxfId="56" priority="8" operator="equal">
      <formula>TRUE</formula>
    </cfRule>
  </conditionalFormatting>
  <conditionalFormatting sqref="K3:K180">
    <cfRule type="cellIs" dxfId="55" priority="1" operator="equal">
      <formula>TRUE</formula>
    </cfRule>
  </conditionalFormatting>
  <conditionalFormatting sqref="W3:W180">
    <cfRule type="cellIs" dxfId="54" priority="7" operator="notEqual">
      <formula>1</formula>
    </cfRule>
  </conditionalFormatting>
  <conditionalFormatting sqref="BB3:BG180">
    <cfRule type="cellIs" dxfId="53" priority="6" operator="equal">
      <formula>TRUE</formula>
    </cfRule>
  </conditionalFormatting>
  <conditionalFormatting sqref="BG170">
    <cfRule type="cellIs" dxfId="52" priority="9" operator="equal">
      <formula>TRUE</formula>
    </cfRule>
  </conditionalFormatting>
  <conditionalFormatting sqref="BI3:BL180">
    <cfRule type="cellIs" dxfId="51" priority="4" operator="equal">
      <formula>TRUE</formula>
    </cfRule>
  </conditionalFormatting>
  <conditionalFormatting sqref="BQ3:BQ180">
    <cfRule type="cellIs" dxfId="50" priority="5" operator="equal">
      <formula>TRUE</formula>
    </cfRule>
  </conditionalFormatting>
  <conditionalFormatting sqref="BT3:BV180">
    <cfRule type="cellIs" dxfId="49" priority="3" operator="equal">
      <formula>TRUE</formula>
    </cfRule>
  </conditionalFormatting>
  <conditionalFormatting sqref="BX3:BY180">
    <cfRule type="cellIs" dxfId="48" priority="2" operator="equal">
      <formula>TRUE</formula>
    </cfRule>
  </conditionalFormatting>
  <dataValidations count="10">
    <dataValidation type="list" allowBlank="1" showInputMessage="1" showErrorMessage="1" sqref="H104:H170 I86:I92 H93:H102 I103 I171 H28:H85 BX3:BX180 BQ3:BQ180 K3:K180 BK3:BL180 BT3:BV180 BI3:BI180 H172:H180 I10:I27 H3:H9 BB3:BB180 BE3:BG180" xr:uid="{0BEEAB93-3DBB-42D6-B932-B82209BAF064}">
      <formula1>"True, False"</formula1>
    </dataValidation>
    <dataValidation type="list" allowBlank="1" showInputMessage="1" showErrorMessage="1" sqref="I28:I85 H86:H92 I93:I102 H103 H171 I172:I180 I104:I170 H10:H27 I3:I9" xr:uid="{0DAC46C9-1B0C-4E60-AC19-961ECF18909F}">
      <formula1>"NA"</formula1>
    </dataValidation>
    <dataValidation type="list" allowBlank="1" showInputMessage="1" showErrorMessage="1" sqref="G3:G180" xr:uid="{F979D243-18FA-4C6D-A78C-D254D1FFBDBC}">
      <formula1>"Dispatchable, Non-dispatchable"</formula1>
    </dataValidation>
    <dataValidation type="list" allowBlank="1" showInputMessage="1" showErrorMessage="1" sqref="BY3:BY180" xr:uid="{75BC0D25-507C-4F21-8A1C-D87461F9EAC7}">
      <formula1>"Existing, New"</formula1>
    </dataValidation>
    <dataValidation type="list" allowBlank="1" showInputMessage="1" showErrorMessage="1" sqref="C3:C180" xr:uid="{298A766F-2B25-834E-BF52-AD2158576923}">
      <formula1>"CSP, HYDRO_IMPOUNDMENT, HYDRO_ROR, NUCLEAR, OTHER, PV, STORAGE, THERMAL, WIND_OFS, WIND_ONS"</formula1>
    </dataValidation>
    <dataValidation type="list" allowBlank="1" showInputMessage="1" showErrorMessage="1" sqref="BC3:BC180" xr:uid="{3CF88043-D2A4-DB4C-8BE4-FF88E571CB3A}">
      <formula1>"FALSE,ROR,IMPOUNDMENT,PSH"</formula1>
    </dataValidation>
    <dataValidation type="list" allowBlank="1" showInputMessage="1" showErrorMessage="1" sqref="BD3:BD180" xr:uid="{AB016131-4ADC-A846-9038-DCAE7C48DFF9}">
      <formula1>"wind_ons,wind_ofs,pv,csp,hydro,rtpv,NA"</formula1>
    </dataValidation>
    <dataValidation type="list" allowBlank="1" showInputMessage="1" showErrorMessage="1" sqref="J3:J180" xr:uid="{BFA858E7-336E-AA4F-812B-A4D71741A254}">
      <formula1>"NA,Fixed Profile,Budget (day groups),Budget (annual)"</formula1>
    </dataValidation>
    <dataValidation type="list" allowBlank="1" showInputMessage="1" showErrorMessage="1" sqref="AD3:AD180" xr:uid="{DF01F0D5-1F74-A245-BEDE-EA137143A664}">
      <formula1>"ATB,Fuel,Fuel-Regional,Water Value,0"</formula1>
    </dataValidation>
    <dataValidation type="list" allowBlank="1" showInputMessage="1" showErrorMessage="1" sqref="BW3:BW180" xr:uid="{140E401E-0140-0B47-8083-82CBA5A6A0FE}">
      <formula1>"wind_ons,wind_ofs,pv,wind,psh,NA"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0EFE-D727-4A99-9716-A63BD679872D}">
  <sheetPr codeName="Sheet4">
    <tabColor theme="4" tint="0.79998168889431442"/>
  </sheetPr>
  <dimension ref="A1:C40"/>
  <sheetViews>
    <sheetView zoomScale="115" zoomScaleNormal="115" workbookViewId="0">
      <pane ySplit="2" topLeftCell="A3" activePane="bottomLeft" state="frozen"/>
      <selection pane="bottomLeft" activeCell="B50" sqref="B50"/>
    </sheetView>
  </sheetViews>
  <sheetFormatPr baseColWidth="10" defaultColWidth="8.83203125" defaultRowHeight="15" x14ac:dyDescent="0.2"/>
  <cols>
    <col min="1" max="1" width="54.5" customWidth="1"/>
    <col min="2" max="2" width="35.5" customWidth="1"/>
    <col min="3" max="3" width="129" customWidth="1"/>
  </cols>
  <sheetData>
    <row r="1" spans="1:3" x14ac:dyDescent="0.2">
      <c r="A1" s="125"/>
      <c r="B1" s="125"/>
      <c r="C1" s="125"/>
    </row>
    <row r="2" spans="1:3" ht="18" thickBot="1" x14ac:dyDescent="0.25">
      <c r="A2" s="157" t="s">
        <v>4</v>
      </c>
      <c r="B2" s="157" t="s">
        <v>5</v>
      </c>
      <c r="C2" s="158" t="s">
        <v>6</v>
      </c>
    </row>
    <row r="3" spans="1:3" ht="23.25" customHeight="1" thickTop="1" x14ac:dyDescent="0.2">
      <c r="A3" s="76" t="s">
        <v>558</v>
      </c>
      <c r="B3" s="81"/>
      <c r="C3" s="77"/>
    </row>
    <row r="4" spans="1:3" ht="16" x14ac:dyDescent="0.2">
      <c r="A4" s="78" t="s">
        <v>598</v>
      </c>
      <c r="B4" s="79" t="b">
        <v>0</v>
      </c>
      <c r="C4" s="84" t="s">
        <v>1339</v>
      </c>
    </row>
    <row r="5" spans="1:3" ht="16" x14ac:dyDescent="0.2">
      <c r="A5" s="86" t="s">
        <v>560</v>
      </c>
      <c r="B5" s="83">
        <v>1</v>
      </c>
      <c r="C5" s="159" t="s">
        <v>1340</v>
      </c>
    </row>
    <row r="6" spans="1:3" ht="16" x14ac:dyDescent="0.2">
      <c r="A6" s="76" t="s">
        <v>433</v>
      </c>
      <c r="B6" s="81"/>
      <c r="C6" s="77"/>
    </row>
    <row r="7" spans="1:3" ht="16" x14ac:dyDescent="0.2">
      <c r="A7" s="78" t="s">
        <v>434</v>
      </c>
      <c r="B7" s="82">
        <v>50</v>
      </c>
      <c r="C7" s="80" t="s">
        <v>1341</v>
      </c>
    </row>
    <row r="8" spans="1:3" ht="16" x14ac:dyDescent="0.2">
      <c r="A8" s="78" t="s">
        <v>445</v>
      </c>
      <c r="B8" s="83" t="s">
        <v>553</v>
      </c>
      <c r="C8" s="84" t="s">
        <v>1342</v>
      </c>
    </row>
    <row r="9" spans="1:3" ht="16" x14ac:dyDescent="0.2">
      <c r="A9" s="78" t="s">
        <v>447</v>
      </c>
      <c r="B9" s="89">
        <v>1.2</v>
      </c>
      <c r="C9" s="84" t="s">
        <v>1408</v>
      </c>
    </row>
    <row r="10" spans="1:3" ht="16" x14ac:dyDescent="0.2">
      <c r="A10" s="78" t="s">
        <v>511</v>
      </c>
      <c r="B10" s="89" t="b">
        <v>1</v>
      </c>
      <c r="C10" s="84" t="s">
        <v>1343</v>
      </c>
    </row>
    <row r="11" spans="1:3" ht="16" x14ac:dyDescent="0.2">
      <c r="A11" s="78" t="s">
        <v>477</v>
      </c>
      <c r="B11" s="89">
        <v>0.3</v>
      </c>
      <c r="C11" s="85" t="s">
        <v>1344</v>
      </c>
    </row>
    <row r="12" spans="1:3" ht="16" x14ac:dyDescent="0.2">
      <c r="A12" s="78" t="s">
        <v>484</v>
      </c>
      <c r="B12" s="108">
        <v>0</v>
      </c>
      <c r="C12" s="85" t="s">
        <v>1345</v>
      </c>
    </row>
    <row r="13" spans="1:3" ht="16" x14ac:dyDescent="0.2">
      <c r="A13" s="86" t="s">
        <v>957</v>
      </c>
      <c r="B13" s="137">
        <v>32</v>
      </c>
      <c r="C13" s="110" t="s">
        <v>1346</v>
      </c>
    </row>
    <row r="14" spans="1:3" ht="16" x14ac:dyDescent="0.2">
      <c r="A14" s="86" t="s">
        <v>473</v>
      </c>
      <c r="B14" s="109" t="s">
        <v>599</v>
      </c>
      <c r="C14" s="110" t="s">
        <v>1347</v>
      </c>
    </row>
    <row r="15" spans="1:3" ht="16" x14ac:dyDescent="0.2">
      <c r="A15" s="76" t="s">
        <v>958</v>
      </c>
      <c r="B15" s="81"/>
      <c r="C15" s="77"/>
    </row>
    <row r="16" spans="1:3" ht="16" x14ac:dyDescent="0.2">
      <c r="A16" s="78" t="s">
        <v>1404</v>
      </c>
      <c r="B16" s="79" t="b">
        <v>0</v>
      </c>
      <c r="C16" s="80" t="s">
        <v>1348</v>
      </c>
    </row>
    <row r="17" spans="1:3" ht="16" x14ac:dyDescent="0.2">
      <c r="A17" s="78" t="s">
        <v>959</v>
      </c>
      <c r="B17" s="160" t="s">
        <v>1188</v>
      </c>
      <c r="C17" s="80" t="s">
        <v>1349</v>
      </c>
    </row>
    <row r="18" spans="1:3" ht="16" x14ac:dyDescent="0.2">
      <c r="A18" s="78" t="s">
        <v>960</v>
      </c>
      <c r="B18" s="79" t="s">
        <v>961</v>
      </c>
      <c r="C18" s="80" t="s">
        <v>1350</v>
      </c>
    </row>
    <row r="19" spans="1:3" ht="16" x14ac:dyDescent="0.2">
      <c r="A19" s="78" t="s">
        <v>962</v>
      </c>
      <c r="B19" s="138" t="s">
        <v>553</v>
      </c>
      <c r="C19" s="84" t="s">
        <v>1351</v>
      </c>
    </row>
    <row r="20" spans="1:3" ht="16.5" customHeight="1" x14ac:dyDescent="0.2">
      <c r="A20" s="78" t="s">
        <v>963</v>
      </c>
      <c r="B20" s="83" t="s">
        <v>1189</v>
      </c>
      <c r="C20" s="84" t="s">
        <v>1352</v>
      </c>
    </row>
    <row r="21" spans="1:3" ht="16" x14ac:dyDescent="0.2">
      <c r="A21" s="78" t="s">
        <v>964</v>
      </c>
      <c r="B21" s="87" t="s">
        <v>506</v>
      </c>
      <c r="C21" s="84" t="s">
        <v>1353</v>
      </c>
    </row>
    <row r="22" spans="1:3" ht="16" x14ac:dyDescent="0.2">
      <c r="A22" s="78" t="s">
        <v>965</v>
      </c>
      <c r="B22" s="83">
        <v>15</v>
      </c>
      <c r="C22" s="84" t="s">
        <v>1354</v>
      </c>
    </row>
    <row r="23" spans="1:3" ht="16" x14ac:dyDescent="0.2">
      <c r="A23" s="78" t="s">
        <v>966</v>
      </c>
      <c r="B23" s="139">
        <v>0.1</v>
      </c>
      <c r="C23" s="84" t="s">
        <v>1355</v>
      </c>
    </row>
    <row r="24" spans="1:3" ht="16" x14ac:dyDescent="0.2">
      <c r="A24" s="78" t="s">
        <v>967</v>
      </c>
      <c r="B24" s="161">
        <v>1E-3</v>
      </c>
      <c r="C24" s="85" t="s">
        <v>1405</v>
      </c>
    </row>
    <row r="25" spans="1:3" ht="16" x14ac:dyDescent="0.2">
      <c r="A25" s="76" t="s">
        <v>448</v>
      </c>
      <c r="B25" s="81"/>
      <c r="C25" s="77"/>
    </row>
    <row r="26" spans="1:3" ht="16" x14ac:dyDescent="0.2">
      <c r="A26" s="78" t="s">
        <v>449</v>
      </c>
      <c r="B26" s="88">
        <v>18.3</v>
      </c>
      <c r="C26" s="80" t="s">
        <v>507</v>
      </c>
    </row>
    <row r="27" spans="1:3" ht="16" x14ac:dyDescent="0.2">
      <c r="A27" s="76" t="s">
        <v>480</v>
      </c>
      <c r="B27" s="81"/>
      <c r="C27" s="77"/>
    </row>
    <row r="28" spans="1:3" ht="16" x14ac:dyDescent="0.2">
      <c r="A28" s="78" t="s">
        <v>481</v>
      </c>
      <c r="B28" s="79" t="s">
        <v>483</v>
      </c>
      <c r="C28" s="84" t="s">
        <v>1356</v>
      </c>
    </row>
    <row r="29" spans="1:3" ht="16" x14ac:dyDescent="0.2">
      <c r="A29" s="78" t="s">
        <v>482</v>
      </c>
      <c r="B29" s="79" t="s">
        <v>483</v>
      </c>
      <c r="C29" s="84" t="s">
        <v>1357</v>
      </c>
    </row>
    <row r="30" spans="1:3" ht="16" x14ac:dyDescent="0.2">
      <c r="A30" s="76" t="s">
        <v>454</v>
      </c>
      <c r="B30" s="81"/>
      <c r="C30" s="77"/>
    </row>
    <row r="31" spans="1:3" ht="16" x14ac:dyDescent="0.2">
      <c r="A31" s="78" t="s">
        <v>193</v>
      </c>
      <c r="B31" s="79" t="b">
        <v>1</v>
      </c>
      <c r="C31" s="80" t="s">
        <v>1358</v>
      </c>
    </row>
    <row r="32" spans="1:3" x14ac:dyDescent="0.2">
      <c r="A32" s="10" t="s">
        <v>505</v>
      </c>
      <c r="B32" s="68">
        <v>200</v>
      </c>
      <c r="C32" s="6" t="s">
        <v>1359</v>
      </c>
    </row>
    <row r="33" spans="1:3" x14ac:dyDescent="0.2">
      <c r="A33" s="10" t="s">
        <v>512</v>
      </c>
      <c r="B33" s="68">
        <v>50</v>
      </c>
      <c r="C33" s="6" t="s">
        <v>1402</v>
      </c>
    </row>
    <row r="34" spans="1:3" ht="16" x14ac:dyDescent="0.2">
      <c r="A34" s="78" t="s">
        <v>1190</v>
      </c>
      <c r="B34" s="79" t="b">
        <v>0</v>
      </c>
      <c r="C34" s="80" t="s">
        <v>1399</v>
      </c>
    </row>
    <row r="35" spans="1:3" ht="16" x14ac:dyDescent="0.2">
      <c r="A35" s="78" t="s">
        <v>478</v>
      </c>
      <c r="B35" s="79" t="b">
        <v>0</v>
      </c>
      <c r="C35" s="80" t="s">
        <v>1400</v>
      </c>
    </row>
    <row r="36" spans="1:3" ht="16" x14ac:dyDescent="0.2">
      <c r="A36" s="78" t="s">
        <v>479</v>
      </c>
      <c r="B36" s="79" t="b">
        <v>0</v>
      </c>
      <c r="C36" s="80" t="s">
        <v>1401</v>
      </c>
    </row>
    <row r="37" spans="1:3" x14ac:dyDescent="0.2">
      <c r="A37" s="10" t="s">
        <v>513</v>
      </c>
      <c r="B37" s="68" t="s">
        <v>567</v>
      </c>
      <c r="C37" s="6" t="s">
        <v>1360</v>
      </c>
    </row>
    <row r="38" spans="1:3" ht="16" x14ac:dyDescent="0.2">
      <c r="A38" s="10" t="s">
        <v>956</v>
      </c>
      <c r="B38" s="79" t="s">
        <v>1398</v>
      </c>
      <c r="C38" s="6" t="s">
        <v>1361</v>
      </c>
    </row>
    <row r="39" spans="1:3" x14ac:dyDescent="0.2">
      <c r="A39" s="10" t="s">
        <v>1191</v>
      </c>
      <c r="B39" s="162">
        <v>1.0000000000000001E-5</v>
      </c>
      <c r="C39" s="6" t="s">
        <v>1406</v>
      </c>
    </row>
    <row r="40" spans="1:3" x14ac:dyDescent="0.2">
      <c r="A40" s="10" t="s">
        <v>1192</v>
      </c>
      <c r="B40" s="83">
        <v>6</v>
      </c>
      <c r="C40" s="6" t="s">
        <v>1407</v>
      </c>
    </row>
  </sheetData>
  <dataConsolidate/>
  <conditionalFormatting sqref="B4">
    <cfRule type="cellIs" dxfId="47" priority="3" operator="equal">
      <formula>TRUE</formula>
    </cfRule>
  </conditionalFormatting>
  <conditionalFormatting sqref="B16:B18">
    <cfRule type="cellIs" dxfId="46" priority="6" operator="equal">
      <formula>TRUE</formula>
    </cfRule>
  </conditionalFormatting>
  <conditionalFormatting sqref="B28:B29">
    <cfRule type="cellIs" dxfId="45" priority="5" operator="equal">
      <formula>TRUE</formula>
    </cfRule>
  </conditionalFormatting>
  <conditionalFormatting sqref="B31 B34:B36">
    <cfRule type="cellIs" dxfId="44" priority="2" operator="equal">
      <formula>TRUE</formula>
    </cfRule>
  </conditionalFormatting>
  <conditionalFormatting sqref="B38">
    <cfRule type="cellIs" dxfId="43" priority="1" operator="equal">
      <formula>TRUE</formula>
    </cfRule>
  </conditionalFormatting>
  <dataValidations count="11">
    <dataValidation type="list" allowBlank="1" showInputMessage="1" showErrorMessage="1" sqref="B21" xr:uid="{2E3EB47B-3474-3A43-9BC4-9B23A55B93F9}">
      <formula1>"Systemwide, Regional"</formula1>
    </dataValidation>
    <dataValidation type="list" allowBlank="1" showInputMessage="1" showErrorMessage="1" sqref="B21" xr:uid="{7197018F-E5DB-DA48-837E-7FBB6295926F}">
      <formula1>"PTDF, Network_Flow"</formula1>
    </dataValidation>
    <dataValidation type="list" allowBlank="1" showInputMessage="1" showErrorMessage="1" sqref="B4 B16 B31 B34:B36" xr:uid="{839B3F2F-DF3F-C949-B1C6-35FD7922C8C4}">
      <formula1>"True, False"</formula1>
    </dataValidation>
    <dataValidation type="list" allowBlank="1" showInputMessage="1" showErrorMessage="1" sqref="B28" xr:uid="{C5970995-8F3C-C643-AAF1-D118BB72442C}">
      <formula1>"Optimal, Greater than reference"</formula1>
    </dataValidation>
    <dataValidation type="list" allowBlank="1" showInputMessage="1" showErrorMessage="1" sqref="B14" xr:uid="{A3287EFC-FC74-4A4D-ACC2-355064CDE65D}">
      <formula1>"NA, average, 90 percentile, 95 percentile"</formula1>
    </dataValidation>
    <dataValidation type="list" allowBlank="1" showInputMessage="1" showErrorMessage="1" sqref="B8 B19" xr:uid="{E3EB43B0-ED6F-9148-A024-6C8976B8BFE6}">
      <formula1>"Economic Dispatch, Sequential Economic Dispatch"</formula1>
    </dataValidation>
    <dataValidation type="list" allowBlank="1" showInputMessage="1" showErrorMessage="1" sqref="B38" xr:uid="{6514CE21-6B36-1C4C-807C-BDB917918962}">
      <formula1>"compact, detailed"</formula1>
    </dataValidation>
    <dataValidation type="list" allowBlank="1" showInputMessage="1" showErrorMessage="1" sqref="B17" xr:uid="{D818F9EC-71AE-4A45-9EDF-8AC95ACA9783}">
      <formula1>"ELCC, DLOL, Lookup Table"</formula1>
    </dataValidation>
    <dataValidation type="list" allowBlank="1" showInputMessage="1" showErrorMessage="1" sqref="B18" xr:uid="{BCE7AECF-B168-7B40-9D8B-4012C3EE7A92}">
      <formula1>"add_new, deactivate_existing"</formula1>
    </dataValidation>
    <dataValidation type="list" allowBlank="1" showInputMessage="1" showErrorMessage="1" sqref="B29" xr:uid="{BB2E67B7-9F06-5148-9864-8C55DD696D68}">
      <formula1>"Optimal, Not Allowed, Same as Reference"</formula1>
    </dataValidation>
    <dataValidation type="list" allowBlank="1" showInputMessage="1" showErrorMessage="1" sqref="B20" xr:uid="{01E594E8-0FB5-B045-BC52-24247982A7CA}">
      <formula1>"EUE, NEUE"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AB24F-EA1F-4842-8618-07C502DBAB73}">
  <sheetPr codeName="Sheet5">
    <tabColor theme="4" tint="0.79998168889431442"/>
  </sheetPr>
  <dimension ref="A1:H106"/>
  <sheetViews>
    <sheetView topLeftCell="A65" zoomScale="115" zoomScaleNormal="115" workbookViewId="0">
      <pane xSplit="2" topLeftCell="C1" activePane="topRight" state="frozen"/>
      <selection pane="topRight" activeCell="B101" sqref="B101"/>
    </sheetView>
  </sheetViews>
  <sheetFormatPr baseColWidth="10" defaultColWidth="8.83203125" defaultRowHeight="15" x14ac:dyDescent="0.2"/>
  <cols>
    <col min="1" max="1" width="25.5" customWidth="1"/>
    <col min="2" max="2" width="50.6640625" customWidth="1"/>
    <col min="3" max="8" width="27.5" customWidth="1"/>
    <col min="9" max="10" width="20" customWidth="1"/>
    <col min="13" max="13" width="12.33203125" customWidth="1"/>
    <col min="15" max="18" width="11" customWidth="1"/>
    <col min="19" max="23" width="23.83203125" customWidth="1"/>
    <col min="24" max="24" width="27.1640625" customWidth="1"/>
    <col min="25" max="28" width="26.1640625" customWidth="1"/>
    <col min="29" max="29" width="22" customWidth="1"/>
    <col min="30" max="30" width="20" customWidth="1"/>
    <col min="31" max="31" width="26.1640625" customWidth="1"/>
    <col min="32" max="32" width="22" customWidth="1"/>
    <col min="33" max="33" width="20" customWidth="1"/>
    <col min="34" max="34" width="34.5" customWidth="1"/>
    <col min="35" max="35" width="28.6640625" customWidth="1"/>
    <col min="36" max="36" width="24.1640625" customWidth="1"/>
    <col min="39" max="39" width="14.1640625" customWidth="1"/>
  </cols>
  <sheetData>
    <row r="1" spans="1:8" x14ac:dyDescent="0.2">
      <c r="A1" s="125"/>
      <c r="B1" s="125"/>
      <c r="C1" s="125"/>
      <c r="D1" s="125"/>
      <c r="E1" s="125"/>
      <c r="F1" s="125"/>
      <c r="G1" s="125"/>
      <c r="H1" s="125"/>
    </row>
    <row r="2" spans="1:8" ht="33" customHeight="1" thickBot="1" x14ac:dyDescent="0.25">
      <c r="A2" s="2" t="s">
        <v>404</v>
      </c>
      <c r="B2" s="2" t="s">
        <v>4</v>
      </c>
      <c r="C2" s="2">
        <v>1</v>
      </c>
      <c r="D2" s="2">
        <v>2</v>
      </c>
      <c r="E2" s="2">
        <v>3</v>
      </c>
      <c r="F2" s="2">
        <v>4</v>
      </c>
      <c r="G2" s="2">
        <v>5</v>
      </c>
      <c r="H2" s="2">
        <v>6</v>
      </c>
    </row>
    <row r="3" spans="1:8" ht="17" thickTop="1" x14ac:dyDescent="0.2">
      <c r="A3" s="192" t="s">
        <v>407</v>
      </c>
      <c r="B3" s="90" t="s">
        <v>405</v>
      </c>
      <c r="C3" s="59" t="b">
        <v>1</v>
      </c>
      <c r="D3" s="59" t="b">
        <v>0</v>
      </c>
      <c r="E3" s="59" t="b">
        <v>0</v>
      </c>
      <c r="F3" s="59" t="b">
        <v>0</v>
      </c>
      <c r="G3" s="59" t="b">
        <v>0</v>
      </c>
      <c r="H3" s="59" t="b">
        <v>0</v>
      </c>
    </row>
    <row r="4" spans="1:8" ht="17" thickBot="1" x14ac:dyDescent="0.25">
      <c r="A4" s="193"/>
      <c r="B4" s="91" t="s">
        <v>169</v>
      </c>
      <c r="C4" s="92" t="s">
        <v>596</v>
      </c>
      <c r="D4" s="92" t="s">
        <v>1240</v>
      </c>
      <c r="E4" s="92" t="s">
        <v>1184</v>
      </c>
      <c r="F4" s="92" t="s">
        <v>1185</v>
      </c>
      <c r="G4" s="92" t="s">
        <v>1186</v>
      </c>
      <c r="H4" s="92" t="s">
        <v>1187</v>
      </c>
    </row>
    <row r="5" spans="1:8" ht="17" thickTop="1" x14ac:dyDescent="0.2">
      <c r="A5" s="194" t="s">
        <v>408</v>
      </c>
      <c r="B5" s="93" t="s">
        <v>414</v>
      </c>
      <c r="C5" s="94" t="s">
        <v>370</v>
      </c>
      <c r="D5" s="94" t="s">
        <v>370</v>
      </c>
      <c r="E5" s="94" t="s">
        <v>370</v>
      </c>
      <c r="F5" s="94" t="s">
        <v>370</v>
      </c>
      <c r="G5" s="94" t="s">
        <v>370</v>
      </c>
      <c r="H5" s="94" t="s">
        <v>370</v>
      </c>
    </row>
    <row r="6" spans="1:8" ht="16" x14ac:dyDescent="0.2">
      <c r="A6" s="195"/>
      <c r="B6" s="90" t="s">
        <v>968</v>
      </c>
      <c r="C6" s="95" t="s">
        <v>370</v>
      </c>
      <c r="D6" s="95" t="s">
        <v>370</v>
      </c>
      <c r="E6" s="95" t="s">
        <v>370</v>
      </c>
      <c r="F6" s="95" t="s">
        <v>370</v>
      </c>
      <c r="G6" s="95" t="s">
        <v>370</v>
      </c>
      <c r="H6" s="95" t="s">
        <v>370</v>
      </c>
    </row>
    <row r="7" spans="1:8" ht="16" x14ac:dyDescent="0.2">
      <c r="A7" s="195"/>
      <c r="B7" s="90" t="s">
        <v>504</v>
      </c>
      <c r="C7" s="95" t="s">
        <v>370</v>
      </c>
      <c r="D7" s="95" t="s">
        <v>370</v>
      </c>
      <c r="E7" s="95" t="s">
        <v>370</v>
      </c>
      <c r="F7" s="95" t="s">
        <v>370</v>
      </c>
      <c r="G7" s="95" t="s">
        <v>370</v>
      </c>
      <c r="H7" s="95" t="s">
        <v>370</v>
      </c>
    </row>
    <row r="8" spans="1:8" ht="16" x14ac:dyDescent="0.2">
      <c r="A8" s="195"/>
      <c r="B8" s="90" t="s">
        <v>455</v>
      </c>
      <c r="C8" s="95" t="s">
        <v>464</v>
      </c>
      <c r="D8" s="95" t="s">
        <v>464</v>
      </c>
      <c r="E8" s="95" t="s">
        <v>464</v>
      </c>
      <c r="F8" s="95" t="s">
        <v>464</v>
      </c>
      <c r="G8" s="95" t="s">
        <v>464</v>
      </c>
      <c r="H8" s="95" t="s">
        <v>464</v>
      </c>
    </row>
    <row r="9" spans="1:8" ht="16" x14ac:dyDescent="0.2">
      <c r="A9" s="195"/>
      <c r="B9" s="90" t="s">
        <v>456</v>
      </c>
      <c r="C9" s="95" t="s">
        <v>464</v>
      </c>
      <c r="D9" s="95" t="s">
        <v>464</v>
      </c>
      <c r="E9" s="95" t="s">
        <v>464</v>
      </c>
      <c r="F9" s="95" t="s">
        <v>464</v>
      </c>
      <c r="G9" s="95" t="s">
        <v>464</v>
      </c>
      <c r="H9" s="95" t="s">
        <v>464</v>
      </c>
    </row>
    <row r="10" spans="1:8" ht="17" thickBot="1" x14ac:dyDescent="0.25">
      <c r="A10" s="193"/>
      <c r="B10" s="91" t="s">
        <v>578</v>
      </c>
      <c r="C10" s="92" t="s">
        <v>464</v>
      </c>
      <c r="D10" s="92" t="s">
        <v>464</v>
      </c>
      <c r="E10" s="92" t="s">
        <v>464</v>
      </c>
      <c r="F10" s="92" t="s">
        <v>464</v>
      </c>
      <c r="G10" s="92" t="s">
        <v>464</v>
      </c>
      <c r="H10" s="92" t="s">
        <v>464</v>
      </c>
    </row>
    <row r="11" spans="1:8" ht="17" thickTop="1" x14ac:dyDescent="0.2">
      <c r="A11" s="189" t="s">
        <v>420</v>
      </c>
      <c r="B11" s="93" t="s">
        <v>425</v>
      </c>
      <c r="C11" s="96" t="b">
        <v>1</v>
      </c>
      <c r="D11" s="96" t="b">
        <v>0</v>
      </c>
      <c r="E11" s="96" t="b">
        <v>0</v>
      </c>
      <c r="F11" s="96" t="b">
        <v>1</v>
      </c>
      <c r="G11" s="96" t="b">
        <v>1</v>
      </c>
      <c r="H11" s="96" t="b">
        <v>1</v>
      </c>
    </row>
    <row r="12" spans="1:8" ht="16" x14ac:dyDescent="0.2">
      <c r="A12" s="190"/>
      <c r="B12" s="90" t="s">
        <v>423</v>
      </c>
      <c r="C12" s="95" t="s">
        <v>422</v>
      </c>
      <c r="D12" s="95" t="s">
        <v>422</v>
      </c>
      <c r="E12" s="95" t="s">
        <v>422</v>
      </c>
      <c r="F12" s="95" t="s">
        <v>422</v>
      </c>
      <c r="G12" s="95" t="s">
        <v>422</v>
      </c>
      <c r="H12" s="95" t="s">
        <v>422</v>
      </c>
    </row>
    <row r="13" spans="1:8" ht="16" x14ac:dyDescent="0.2">
      <c r="A13" s="190"/>
      <c r="B13" s="90" t="s">
        <v>168</v>
      </c>
      <c r="C13" s="59" t="b">
        <v>0</v>
      </c>
      <c r="D13" s="59" t="b">
        <v>1</v>
      </c>
      <c r="E13" s="59" t="b">
        <v>0</v>
      </c>
      <c r="F13" s="59" t="b">
        <v>0</v>
      </c>
      <c r="G13" s="59" t="b">
        <v>1</v>
      </c>
      <c r="H13" s="59" t="b">
        <v>0</v>
      </c>
    </row>
    <row r="14" spans="1:8" ht="16" x14ac:dyDescent="0.2">
      <c r="A14" s="190"/>
      <c r="B14" s="90" t="s">
        <v>1221</v>
      </c>
      <c r="C14" s="95">
        <v>150000</v>
      </c>
      <c r="D14" s="95">
        <v>150000</v>
      </c>
      <c r="E14" s="95">
        <v>150000</v>
      </c>
      <c r="F14" s="95">
        <v>150000</v>
      </c>
      <c r="G14" s="95">
        <v>150000</v>
      </c>
      <c r="H14" s="95">
        <v>150000</v>
      </c>
    </row>
    <row r="15" spans="1:8" ht="16" x14ac:dyDescent="0.2">
      <c r="A15" s="190"/>
      <c r="B15" s="90" t="s">
        <v>1222</v>
      </c>
      <c r="C15" s="95">
        <v>1666</v>
      </c>
      <c r="D15" s="95">
        <v>1666</v>
      </c>
      <c r="E15" s="95">
        <v>1666</v>
      </c>
      <c r="F15" s="95">
        <v>1666</v>
      </c>
      <c r="G15" s="95">
        <v>1666</v>
      </c>
      <c r="H15" s="95">
        <v>1666</v>
      </c>
    </row>
    <row r="16" spans="1:8" ht="16" x14ac:dyDescent="0.2">
      <c r="A16" s="190"/>
      <c r="B16" s="90" t="s">
        <v>969</v>
      </c>
      <c r="C16" s="59" t="s">
        <v>970</v>
      </c>
      <c r="D16" s="59" t="s">
        <v>970</v>
      </c>
      <c r="E16" s="59" t="s">
        <v>970</v>
      </c>
      <c r="F16" s="59" t="s">
        <v>970</v>
      </c>
      <c r="G16" s="59" t="s">
        <v>970</v>
      </c>
      <c r="H16" s="59" t="s">
        <v>970</v>
      </c>
    </row>
    <row r="17" spans="1:8" ht="16" x14ac:dyDescent="0.2">
      <c r="A17" s="190"/>
      <c r="B17" s="90" t="s">
        <v>971</v>
      </c>
      <c r="C17" s="59" t="b">
        <v>1</v>
      </c>
      <c r="D17" s="59" t="b">
        <v>1</v>
      </c>
      <c r="E17" s="59" t="b">
        <v>1</v>
      </c>
      <c r="F17" s="59" t="b">
        <v>1</v>
      </c>
      <c r="G17" s="59" t="b">
        <v>1</v>
      </c>
      <c r="H17" s="59" t="b">
        <v>1</v>
      </c>
    </row>
    <row r="18" spans="1:8" ht="16" x14ac:dyDescent="0.2">
      <c r="A18" s="190"/>
      <c r="B18" s="90" t="s">
        <v>972</v>
      </c>
      <c r="C18" s="59" t="s">
        <v>970</v>
      </c>
      <c r="D18" s="59" t="s">
        <v>970</v>
      </c>
      <c r="E18" s="59" t="s">
        <v>970</v>
      </c>
      <c r="F18" s="59" t="s">
        <v>970</v>
      </c>
      <c r="G18" s="59" t="s">
        <v>970</v>
      </c>
      <c r="H18" s="59" t="s">
        <v>970</v>
      </c>
    </row>
    <row r="19" spans="1:8" ht="16" x14ac:dyDescent="0.2">
      <c r="A19" s="190"/>
      <c r="B19" s="90" t="s">
        <v>140</v>
      </c>
      <c r="C19" s="95">
        <v>3</v>
      </c>
      <c r="D19" s="95">
        <v>3</v>
      </c>
      <c r="E19" s="95">
        <v>3</v>
      </c>
      <c r="F19" s="95">
        <v>3</v>
      </c>
      <c r="G19" s="95">
        <v>3</v>
      </c>
      <c r="H19" s="95">
        <v>3</v>
      </c>
    </row>
    <row r="20" spans="1:8" ht="16" x14ac:dyDescent="0.2">
      <c r="A20" s="190"/>
      <c r="B20" s="90" t="s">
        <v>141</v>
      </c>
      <c r="C20" s="95">
        <v>1</v>
      </c>
      <c r="D20" s="95">
        <v>1</v>
      </c>
      <c r="E20" s="95">
        <v>1</v>
      </c>
      <c r="F20" s="95">
        <v>1</v>
      </c>
      <c r="G20" s="95">
        <v>1</v>
      </c>
      <c r="H20" s="95">
        <v>1</v>
      </c>
    </row>
    <row r="21" spans="1:8" ht="16" x14ac:dyDescent="0.2">
      <c r="A21" s="190"/>
      <c r="B21" s="90" t="s">
        <v>486</v>
      </c>
      <c r="C21" s="59" t="b">
        <v>0</v>
      </c>
      <c r="D21" s="59" t="b">
        <v>0</v>
      </c>
      <c r="E21" s="59" t="b">
        <v>0</v>
      </c>
      <c r="F21" s="59" t="b">
        <v>0</v>
      </c>
      <c r="G21" s="59" t="b">
        <v>0</v>
      </c>
      <c r="H21" s="59" t="b">
        <v>0</v>
      </c>
    </row>
    <row r="22" spans="1:8" ht="15.75" customHeight="1" thickBot="1" x14ac:dyDescent="0.25">
      <c r="A22" s="191"/>
      <c r="B22" s="91" t="s">
        <v>487</v>
      </c>
      <c r="C22" s="97" t="b">
        <v>0</v>
      </c>
      <c r="D22" s="97" t="b">
        <v>0</v>
      </c>
      <c r="E22" s="97" t="b">
        <v>0</v>
      </c>
      <c r="F22" s="97" t="b">
        <v>0</v>
      </c>
      <c r="G22" s="97" t="b">
        <v>0</v>
      </c>
      <c r="H22" s="97" t="b">
        <v>0</v>
      </c>
    </row>
    <row r="23" spans="1:8" ht="15.75" customHeight="1" thickTop="1" x14ac:dyDescent="0.2">
      <c r="A23" s="189" t="s">
        <v>485</v>
      </c>
      <c r="B23" s="93" t="s">
        <v>466</v>
      </c>
      <c r="C23" s="96" t="b">
        <v>0</v>
      </c>
      <c r="D23" s="96" t="b">
        <v>0</v>
      </c>
      <c r="E23" s="96" t="b">
        <v>0</v>
      </c>
      <c r="F23" s="96" t="b">
        <v>0</v>
      </c>
      <c r="G23" s="96" t="b">
        <v>0</v>
      </c>
      <c r="H23" s="96" t="b">
        <v>0</v>
      </c>
    </row>
    <row r="24" spans="1:8" ht="16" x14ac:dyDescent="0.2">
      <c r="A24" s="190"/>
      <c r="B24" s="90" t="s">
        <v>472</v>
      </c>
      <c r="C24" s="59" t="s">
        <v>467</v>
      </c>
      <c r="D24" s="59" t="s">
        <v>467</v>
      </c>
      <c r="E24" s="59" t="s">
        <v>467</v>
      </c>
      <c r="F24" s="59" t="s">
        <v>467</v>
      </c>
      <c r="G24" s="59" t="s">
        <v>467</v>
      </c>
      <c r="H24" s="59" t="s">
        <v>467</v>
      </c>
    </row>
    <row r="25" spans="1:8" ht="16" x14ac:dyDescent="0.2">
      <c r="A25" s="190"/>
      <c r="B25" s="90" t="s">
        <v>469</v>
      </c>
      <c r="C25" s="59" t="b">
        <v>0</v>
      </c>
      <c r="D25" s="59" t="b">
        <v>0</v>
      </c>
      <c r="E25" s="59" t="b">
        <v>0</v>
      </c>
      <c r="F25" s="59" t="b">
        <v>0</v>
      </c>
      <c r="G25" s="59" t="b">
        <v>0</v>
      </c>
      <c r="H25" s="59" t="b">
        <v>0</v>
      </c>
    </row>
    <row r="26" spans="1:8" ht="16" x14ac:dyDescent="0.2">
      <c r="A26" s="190"/>
      <c r="B26" s="90" t="s">
        <v>470</v>
      </c>
      <c r="C26" s="59" t="b">
        <v>0</v>
      </c>
      <c r="D26" s="59" t="b">
        <v>0</v>
      </c>
      <c r="E26" s="59" t="b">
        <v>0</v>
      </c>
      <c r="F26" s="59" t="b">
        <v>0</v>
      </c>
      <c r="G26" s="59" t="b">
        <v>0</v>
      </c>
      <c r="H26" s="59" t="b">
        <v>0</v>
      </c>
    </row>
    <row r="27" spans="1:8" ht="16" x14ac:dyDescent="0.2">
      <c r="A27" s="190"/>
      <c r="B27" s="90" t="s">
        <v>471</v>
      </c>
      <c r="C27" s="59" t="b">
        <v>0</v>
      </c>
      <c r="D27" s="59" t="b">
        <v>0</v>
      </c>
      <c r="E27" s="59" t="b">
        <v>0</v>
      </c>
      <c r="F27" s="59" t="b">
        <v>0</v>
      </c>
      <c r="G27" s="59" t="b">
        <v>0</v>
      </c>
      <c r="H27" s="59" t="b">
        <v>0</v>
      </c>
    </row>
    <row r="28" spans="1:8" ht="17" thickBot="1" x14ac:dyDescent="0.25">
      <c r="A28" s="191"/>
      <c r="B28" s="91" t="s">
        <v>468</v>
      </c>
      <c r="C28" s="92">
        <v>2</v>
      </c>
      <c r="D28" s="92">
        <v>2</v>
      </c>
      <c r="E28" s="92">
        <v>2</v>
      </c>
      <c r="F28" s="92">
        <v>2</v>
      </c>
      <c r="G28" s="92">
        <v>2</v>
      </c>
      <c r="H28" s="92">
        <v>2</v>
      </c>
    </row>
    <row r="29" spans="1:8" ht="17" thickTop="1" x14ac:dyDescent="0.2">
      <c r="A29" s="189" t="s">
        <v>421</v>
      </c>
      <c r="B29" s="93" t="s">
        <v>426</v>
      </c>
      <c r="C29" s="96" t="b">
        <v>0</v>
      </c>
      <c r="D29" s="96" t="b">
        <v>1</v>
      </c>
      <c r="E29" s="96" t="b">
        <v>0</v>
      </c>
      <c r="F29" s="96" t="b">
        <v>1</v>
      </c>
      <c r="G29" s="96" t="b">
        <v>1</v>
      </c>
      <c r="H29" s="96" t="b">
        <v>0</v>
      </c>
    </row>
    <row r="30" spans="1:8" ht="16" x14ac:dyDescent="0.2">
      <c r="A30" s="190"/>
      <c r="B30" s="93" t="s">
        <v>951</v>
      </c>
      <c r="C30" s="96" t="b">
        <v>0</v>
      </c>
      <c r="D30" s="96" t="b">
        <v>0</v>
      </c>
      <c r="E30" s="96" t="b">
        <v>0</v>
      </c>
      <c r="F30" s="96" t="b">
        <v>0</v>
      </c>
      <c r="G30" s="96" t="b">
        <v>0</v>
      </c>
      <c r="H30" s="96" t="b">
        <v>0</v>
      </c>
    </row>
    <row r="31" spans="1:8" ht="16" x14ac:dyDescent="0.2">
      <c r="A31" s="190"/>
      <c r="B31" s="93" t="s">
        <v>952</v>
      </c>
      <c r="C31" s="96" t="s">
        <v>559</v>
      </c>
      <c r="D31" s="96" t="s">
        <v>559</v>
      </c>
      <c r="E31" s="96" t="s">
        <v>559</v>
      </c>
      <c r="F31" s="96" t="s">
        <v>559</v>
      </c>
      <c r="G31" s="96" t="s">
        <v>559</v>
      </c>
      <c r="H31" s="96" t="s">
        <v>559</v>
      </c>
    </row>
    <row r="32" spans="1:8" ht="16" x14ac:dyDescent="0.2">
      <c r="A32" s="190"/>
      <c r="B32" s="90" t="s">
        <v>424</v>
      </c>
      <c r="C32" s="95" t="s">
        <v>422</v>
      </c>
      <c r="D32" s="95" t="s">
        <v>422</v>
      </c>
      <c r="E32" s="95" t="s">
        <v>422</v>
      </c>
      <c r="F32" s="95" t="s">
        <v>422</v>
      </c>
      <c r="G32" s="95" t="s">
        <v>422</v>
      </c>
      <c r="H32" s="95" t="s">
        <v>422</v>
      </c>
    </row>
    <row r="33" spans="1:8" ht="16" x14ac:dyDescent="0.2">
      <c r="A33" s="190"/>
      <c r="B33" s="90" t="s">
        <v>257</v>
      </c>
      <c r="C33" s="95">
        <v>3</v>
      </c>
      <c r="D33" s="95">
        <v>3</v>
      </c>
      <c r="E33" s="95">
        <v>3</v>
      </c>
      <c r="F33" s="95">
        <v>3</v>
      </c>
      <c r="G33" s="95">
        <v>3</v>
      </c>
      <c r="H33" s="95">
        <v>3</v>
      </c>
    </row>
    <row r="34" spans="1:8" ht="16" x14ac:dyDescent="0.2">
      <c r="A34" s="190"/>
      <c r="B34" s="90" t="s">
        <v>167</v>
      </c>
      <c r="C34" s="95">
        <v>1</v>
      </c>
      <c r="D34" s="95">
        <v>1</v>
      </c>
      <c r="E34" s="95">
        <v>1</v>
      </c>
      <c r="F34" s="95">
        <v>1</v>
      </c>
      <c r="G34" s="95">
        <v>1</v>
      </c>
      <c r="H34" s="95">
        <v>1</v>
      </c>
    </row>
    <row r="35" spans="1:8" ht="16" x14ac:dyDescent="0.2">
      <c r="A35" s="190"/>
      <c r="B35" s="90" t="s">
        <v>488</v>
      </c>
      <c r="C35" s="59" t="b">
        <v>1</v>
      </c>
      <c r="D35" s="59" t="b">
        <v>1</v>
      </c>
      <c r="E35" s="59" t="b">
        <v>1</v>
      </c>
      <c r="F35" s="59" t="b">
        <v>1</v>
      </c>
      <c r="G35" s="59" t="b">
        <v>1</v>
      </c>
      <c r="H35" s="59" t="b">
        <v>1</v>
      </c>
    </row>
    <row r="36" spans="1:8" ht="15.75" customHeight="1" thickBot="1" x14ac:dyDescent="0.25">
      <c r="A36" s="191"/>
      <c r="B36" s="91" t="s">
        <v>489</v>
      </c>
      <c r="C36" s="97" t="b">
        <v>1</v>
      </c>
      <c r="D36" s="97" t="b">
        <v>1</v>
      </c>
      <c r="E36" s="97" t="b">
        <v>1</v>
      </c>
      <c r="F36" s="97" t="b">
        <v>1</v>
      </c>
      <c r="G36" s="97" t="b">
        <v>1</v>
      </c>
      <c r="H36" s="97" t="b">
        <v>1</v>
      </c>
    </row>
    <row r="37" spans="1:8" ht="15.75" customHeight="1" thickTop="1" x14ac:dyDescent="0.2">
      <c r="A37" s="189" t="s">
        <v>557</v>
      </c>
      <c r="B37" s="105" t="s">
        <v>549</v>
      </c>
      <c r="C37" s="96" t="b">
        <v>0</v>
      </c>
      <c r="D37" s="96" t="b">
        <v>0</v>
      </c>
      <c r="E37" s="96" t="b">
        <v>1</v>
      </c>
      <c r="F37" s="96" t="b">
        <v>0</v>
      </c>
      <c r="G37" s="96" t="b">
        <v>1</v>
      </c>
      <c r="H37" s="96" t="b">
        <v>1</v>
      </c>
    </row>
    <row r="38" spans="1:8" ht="15.75" customHeight="1" x14ac:dyDescent="0.2">
      <c r="A38" s="190"/>
      <c r="B38" s="90" t="s">
        <v>953</v>
      </c>
      <c r="C38" s="96" t="b">
        <v>0</v>
      </c>
      <c r="D38" s="96" t="b">
        <v>0</v>
      </c>
      <c r="E38" s="96" t="b">
        <v>0</v>
      </c>
      <c r="F38" s="96" t="b">
        <v>0</v>
      </c>
      <c r="G38" s="96" t="b">
        <v>0</v>
      </c>
      <c r="H38" s="96" t="b">
        <v>0</v>
      </c>
    </row>
    <row r="39" spans="1:8" ht="15.75" customHeight="1" x14ac:dyDescent="0.2">
      <c r="A39" s="190"/>
      <c r="B39" s="90" t="s">
        <v>954</v>
      </c>
      <c r="C39" s="96" t="s">
        <v>559</v>
      </c>
      <c r="D39" s="96" t="s">
        <v>559</v>
      </c>
      <c r="E39" s="96" t="s">
        <v>559</v>
      </c>
      <c r="F39" s="96" t="s">
        <v>559</v>
      </c>
      <c r="G39" s="96" t="s">
        <v>559</v>
      </c>
      <c r="H39" s="96" t="s">
        <v>559</v>
      </c>
    </row>
    <row r="40" spans="1:8" ht="16" x14ac:dyDescent="0.2">
      <c r="A40" s="190"/>
      <c r="B40" s="90" t="s">
        <v>550</v>
      </c>
      <c r="C40" s="96" t="b">
        <v>0</v>
      </c>
      <c r="D40" s="96" t="b">
        <v>0</v>
      </c>
      <c r="E40" s="96" t="b">
        <v>0</v>
      </c>
      <c r="F40" s="96" t="b">
        <v>0</v>
      </c>
      <c r="G40" s="96" t="b">
        <v>0</v>
      </c>
      <c r="H40" s="96" t="b">
        <v>0</v>
      </c>
    </row>
    <row r="41" spans="1:8" ht="16" x14ac:dyDescent="0.2">
      <c r="A41" s="190"/>
      <c r="B41" s="90" t="s">
        <v>551</v>
      </c>
      <c r="C41" s="95">
        <v>3</v>
      </c>
      <c r="D41" s="95">
        <v>3</v>
      </c>
      <c r="E41" s="95">
        <v>3</v>
      </c>
      <c r="F41" s="95">
        <v>3</v>
      </c>
      <c r="G41" s="95">
        <v>3</v>
      </c>
      <c r="H41" s="95">
        <v>3</v>
      </c>
    </row>
    <row r="42" spans="1:8" ht="17" thickBot="1" x14ac:dyDescent="0.25">
      <c r="A42" s="191"/>
      <c r="B42" s="123" t="s">
        <v>552</v>
      </c>
      <c r="C42" s="124">
        <v>1</v>
      </c>
      <c r="D42" s="124">
        <v>1</v>
      </c>
      <c r="E42" s="124">
        <v>1</v>
      </c>
      <c r="F42" s="124">
        <v>1</v>
      </c>
      <c r="G42" s="124">
        <v>1</v>
      </c>
      <c r="H42" s="124">
        <v>1</v>
      </c>
    </row>
    <row r="43" spans="1:8" ht="17" thickTop="1" x14ac:dyDescent="0.2">
      <c r="A43" s="196" t="s">
        <v>1181</v>
      </c>
      <c r="B43" s="93" t="s">
        <v>1182</v>
      </c>
      <c r="C43" s="96" t="s">
        <v>1195</v>
      </c>
      <c r="D43" s="96" t="s">
        <v>1195</v>
      </c>
      <c r="E43" s="96" t="s">
        <v>1195</v>
      </c>
      <c r="F43" s="96" t="s">
        <v>1195</v>
      </c>
      <c r="G43" s="96" t="s">
        <v>1195</v>
      </c>
      <c r="H43" s="96" t="s">
        <v>1195</v>
      </c>
    </row>
    <row r="44" spans="1:8" ht="16" x14ac:dyDescent="0.2">
      <c r="A44" s="196"/>
      <c r="B44" s="90" t="s">
        <v>1183</v>
      </c>
      <c r="C44" s="94" t="s">
        <v>1241</v>
      </c>
      <c r="D44" s="94" t="s">
        <v>1241</v>
      </c>
      <c r="E44" s="94" t="s">
        <v>1241</v>
      </c>
      <c r="F44" s="94" t="s">
        <v>1241</v>
      </c>
      <c r="G44" s="94" t="s">
        <v>1241</v>
      </c>
      <c r="H44" s="94" t="s">
        <v>1241</v>
      </c>
    </row>
    <row r="45" spans="1:8" ht="17" thickBot="1" x14ac:dyDescent="0.25">
      <c r="A45" s="196"/>
      <c r="B45" s="123" t="s">
        <v>21</v>
      </c>
      <c r="C45" s="124">
        <v>1.7999999999999999E-2</v>
      </c>
      <c r="D45" s="124">
        <v>1.7999999999999999E-2</v>
      </c>
      <c r="E45" s="124">
        <v>1.7999999999999999E-2</v>
      </c>
      <c r="F45" s="124">
        <v>1.7999999999999999E-2</v>
      </c>
      <c r="G45" s="124">
        <v>1.7999999999999999E-2</v>
      </c>
      <c r="H45" s="124">
        <v>1.7999999999999999E-2</v>
      </c>
    </row>
    <row r="46" spans="1:8" ht="17" thickTop="1" x14ac:dyDescent="0.2">
      <c r="A46" s="196" t="s">
        <v>574</v>
      </c>
      <c r="B46" s="93" t="s">
        <v>108</v>
      </c>
      <c r="C46" s="96" t="b">
        <v>0</v>
      </c>
      <c r="D46" s="96" t="b">
        <v>0</v>
      </c>
      <c r="E46" s="96" t="b">
        <v>0</v>
      </c>
      <c r="F46" s="96" t="b">
        <v>0</v>
      </c>
      <c r="G46" s="96" t="b">
        <v>0</v>
      </c>
      <c r="H46" s="96" t="b">
        <v>0</v>
      </c>
    </row>
    <row r="47" spans="1:8" ht="15.75" customHeight="1" x14ac:dyDescent="0.2">
      <c r="A47" s="196"/>
      <c r="B47" s="90" t="s">
        <v>514</v>
      </c>
      <c r="C47" s="94" t="s">
        <v>515</v>
      </c>
      <c r="D47" s="94" t="s">
        <v>515</v>
      </c>
      <c r="E47" s="94" t="s">
        <v>515</v>
      </c>
      <c r="F47" s="94" t="s">
        <v>515</v>
      </c>
      <c r="G47" s="94" t="s">
        <v>515</v>
      </c>
      <c r="H47" s="94" t="s">
        <v>515</v>
      </c>
    </row>
    <row r="48" spans="1:8" ht="17" thickBot="1" x14ac:dyDescent="0.25">
      <c r="A48" s="196"/>
      <c r="B48" s="123" t="s">
        <v>93</v>
      </c>
      <c r="C48" s="124">
        <v>0.13</v>
      </c>
      <c r="D48" s="124">
        <v>0.13</v>
      </c>
      <c r="E48" s="124">
        <v>0.13</v>
      </c>
      <c r="F48" s="124">
        <v>0.13</v>
      </c>
      <c r="G48" s="124">
        <v>0.13</v>
      </c>
      <c r="H48" s="124">
        <v>0.13</v>
      </c>
    </row>
    <row r="49" spans="1:8" ht="17" thickTop="1" x14ac:dyDescent="0.2">
      <c r="A49" s="196" t="s">
        <v>575</v>
      </c>
      <c r="B49" s="93" t="s">
        <v>264</v>
      </c>
      <c r="C49" s="131">
        <v>1</v>
      </c>
      <c r="D49" s="131">
        <v>1</v>
      </c>
      <c r="E49" s="131">
        <v>1</v>
      </c>
      <c r="F49" s="131">
        <v>1</v>
      </c>
      <c r="G49" s="131">
        <v>1</v>
      </c>
      <c r="H49" s="131">
        <v>1</v>
      </c>
    </row>
    <row r="50" spans="1:8" ht="17" thickBot="1" x14ac:dyDescent="0.25">
      <c r="A50" s="196"/>
      <c r="B50" s="91" t="s">
        <v>372</v>
      </c>
      <c r="C50" s="124" t="s">
        <v>587</v>
      </c>
      <c r="D50" s="124" t="s">
        <v>1238</v>
      </c>
      <c r="E50" s="124" t="s">
        <v>587</v>
      </c>
      <c r="F50" s="124" t="s">
        <v>587</v>
      </c>
      <c r="G50" s="124" t="s">
        <v>587</v>
      </c>
      <c r="H50" s="124" t="s">
        <v>587</v>
      </c>
    </row>
    <row r="51" spans="1:8" ht="17" thickTop="1" x14ac:dyDescent="0.2">
      <c r="A51" s="194" t="s">
        <v>1216</v>
      </c>
      <c r="B51" s="93" t="s">
        <v>1293</v>
      </c>
      <c r="C51" s="94">
        <v>0.3</v>
      </c>
      <c r="D51" s="94">
        <v>0.3</v>
      </c>
      <c r="E51" s="94">
        <v>0.3</v>
      </c>
      <c r="F51" s="94">
        <v>0.3</v>
      </c>
      <c r="G51" s="94">
        <v>0.3</v>
      </c>
      <c r="H51" s="94">
        <v>0.3</v>
      </c>
    </row>
    <row r="52" spans="1:8" ht="16" x14ac:dyDescent="0.2">
      <c r="A52" s="195"/>
      <c r="B52" s="93" t="s">
        <v>1217</v>
      </c>
      <c r="C52" s="94" t="b">
        <v>1</v>
      </c>
      <c r="D52" s="94" t="b">
        <v>1</v>
      </c>
      <c r="E52" s="94" t="b">
        <v>1</v>
      </c>
      <c r="F52" s="94" t="b">
        <v>1</v>
      </c>
      <c r="G52" s="94" t="b">
        <v>1</v>
      </c>
      <c r="H52" s="94" t="b">
        <v>1</v>
      </c>
    </row>
    <row r="53" spans="1:8" ht="16" x14ac:dyDescent="0.2">
      <c r="A53" s="195"/>
      <c r="B53" s="90" t="s">
        <v>1218</v>
      </c>
      <c r="C53" s="94" t="b">
        <v>1</v>
      </c>
      <c r="D53" s="94" t="b">
        <v>1</v>
      </c>
      <c r="E53" s="94" t="b">
        <v>1</v>
      </c>
      <c r="F53" s="94" t="b">
        <v>1</v>
      </c>
      <c r="G53" s="94" t="b">
        <v>1</v>
      </c>
      <c r="H53" s="94" t="b">
        <v>1</v>
      </c>
    </row>
    <row r="54" spans="1:8" ht="16" x14ac:dyDescent="0.2">
      <c r="A54" s="195"/>
      <c r="B54" s="105" t="s">
        <v>1219</v>
      </c>
      <c r="C54" s="143" t="b">
        <v>0</v>
      </c>
      <c r="D54" s="143" t="b">
        <v>0</v>
      </c>
      <c r="E54" s="143" t="b">
        <v>0</v>
      </c>
      <c r="F54" s="143" t="b">
        <v>0</v>
      </c>
      <c r="G54" s="143" t="b">
        <v>0</v>
      </c>
      <c r="H54" s="143" t="b">
        <v>0</v>
      </c>
    </row>
    <row r="55" spans="1:8" ht="15.75" customHeight="1" thickBot="1" x14ac:dyDescent="0.25">
      <c r="A55" s="193"/>
      <c r="B55" s="91" t="s">
        <v>1220</v>
      </c>
      <c r="C55" s="124" t="b">
        <v>0</v>
      </c>
      <c r="D55" s="124" t="b">
        <v>0</v>
      </c>
      <c r="E55" s="124" t="b">
        <v>0</v>
      </c>
      <c r="F55" s="124" t="b">
        <v>0</v>
      </c>
      <c r="G55" s="124" t="b">
        <v>0</v>
      </c>
      <c r="H55" s="124" t="b">
        <v>0</v>
      </c>
    </row>
    <row r="56" spans="1:8" ht="17" thickTop="1" x14ac:dyDescent="0.2">
      <c r="A56" s="194" t="s">
        <v>406</v>
      </c>
      <c r="B56" s="93" t="s">
        <v>390</v>
      </c>
      <c r="C56" s="94" t="s">
        <v>370</v>
      </c>
      <c r="D56" s="94" t="s">
        <v>370</v>
      </c>
      <c r="E56" s="94" t="s">
        <v>370</v>
      </c>
      <c r="F56" s="94" t="s">
        <v>370</v>
      </c>
      <c r="G56" s="94" t="s">
        <v>370</v>
      </c>
      <c r="H56" s="94" t="s">
        <v>370</v>
      </c>
    </row>
    <row r="57" spans="1:8" ht="16" x14ac:dyDescent="0.2">
      <c r="A57" s="195"/>
      <c r="B57" s="90" t="s">
        <v>508</v>
      </c>
      <c r="C57" s="94" t="s">
        <v>554</v>
      </c>
      <c r="D57" s="94" t="s">
        <v>554</v>
      </c>
      <c r="E57" s="94" t="s">
        <v>554</v>
      </c>
      <c r="F57" s="94" t="s">
        <v>554</v>
      </c>
      <c r="G57" s="94" t="s">
        <v>554</v>
      </c>
      <c r="H57" s="94" t="s">
        <v>554</v>
      </c>
    </row>
    <row r="58" spans="1:8" ht="16" x14ac:dyDescent="0.2">
      <c r="A58" s="195"/>
      <c r="B58" s="105" t="s">
        <v>978</v>
      </c>
      <c r="C58" s="143">
        <v>2024</v>
      </c>
      <c r="D58" s="143">
        <v>2024</v>
      </c>
      <c r="E58" s="143">
        <v>2024</v>
      </c>
      <c r="F58" s="143">
        <v>2024</v>
      </c>
      <c r="G58" s="143">
        <v>2024</v>
      </c>
      <c r="H58" s="143">
        <v>2024</v>
      </c>
    </row>
    <row r="59" spans="1:8" ht="15.75" customHeight="1" thickBot="1" x14ac:dyDescent="0.25">
      <c r="A59" s="193"/>
      <c r="B59" s="91" t="s">
        <v>81</v>
      </c>
      <c r="C59" s="124" t="s">
        <v>1241</v>
      </c>
      <c r="D59" s="124" t="s">
        <v>1241</v>
      </c>
      <c r="E59" s="124" t="s">
        <v>1241</v>
      </c>
      <c r="F59" s="124" t="s">
        <v>1241</v>
      </c>
      <c r="G59" s="124" t="s">
        <v>1241</v>
      </c>
      <c r="H59" s="124" t="s">
        <v>1241</v>
      </c>
    </row>
    <row r="60" spans="1:8" ht="17" thickTop="1" x14ac:dyDescent="0.2">
      <c r="A60" s="194" t="s">
        <v>576</v>
      </c>
      <c r="B60" s="93" t="s">
        <v>2</v>
      </c>
      <c r="C60" s="94">
        <v>9000</v>
      </c>
      <c r="D60" s="94">
        <v>9000</v>
      </c>
      <c r="E60" s="94">
        <v>9000</v>
      </c>
      <c r="F60" s="94">
        <v>9000</v>
      </c>
      <c r="G60" s="94">
        <v>9000</v>
      </c>
      <c r="H60" s="94">
        <v>9000</v>
      </c>
    </row>
    <row r="61" spans="1:8" ht="16" x14ac:dyDescent="0.2">
      <c r="A61" s="195"/>
      <c r="B61" s="90" t="s">
        <v>973</v>
      </c>
      <c r="C61" s="95">
        <v>5000</v>
      </c>
      <c r="D61" s="95">
        <v>5000</v>
      </c>
      <c r="E61" s="95">
        <v>5000</v>
      </c>
      <c r="F61" s="95">
        <v>5000</v>
      </c>
      <c r="G61" s="95">
        <v>5000</v>
      </c>
      <c r="H61" s="95">
        <v>5000</v>
      </c>
    </row>
    <row r="62" spans="1:8" ht="16" x14ac:dyDescent="0.2">
      <c r="A62" s="195"/>
      <c r="B62" s="90" t="s">
        <v>111</v>
      </c>
      <c r="C62" s="95">
        <v>3500</v>
      </c>
      <c r="D62" s="95">
        <v>3500</v>
      </c>
      <c r="E62" s="95">
        <v>3500</v>
      </c>
      <c r="F62" s="95">
        <v>3500</v>
      </c>
      <c r="G62" s="95">
        <v>3500</v>
      </c>
      <c r="H62" s="95">
        <v>3500</v>
      </c>
    </row>
    <row r="63" spans="1:8" ht="16" x14ac:dyDescent="0.2">
      <c r="A63" s="195"/>
      <c r="B63" s="90" t="s">
        <v>112</v>
      </c>
      <c r="C63" s="95">
        <v>3500</v>
      </c>
      <c r="D63" s="95">
        <v>3500</v>
      </c>
      <c r="E63" s="95">
        <v>3500</v>
      </c>
      <c r="F63" s="95">
        <v>3500</v>
      </c>
      <c r="G63" s="95">
        <v>3500</v>
      </c>
      <c r="H63" s="95">
        <v>3500</v>
      </c>
    </row>
    <row r="64" spans="1:8" ht="17" thickBot="1" x14ac:dyDescent="0.25">
      <c r="A64" s="193"/>
      <c r="B64" s="91" t="s">
        <v>130</v>
      </c>
      <c r="C64" s="92">
        <v>3500</v>
      </c>
      <c r="D64" s="92">
        <v>3500</v>
      </c>
      <c r="E64" s="92">
        <v>3500</v>
      </c>
      <c r="F64" s="92">
        <v>3500</v>
      </c>
      <c r="G64" s="92">
        <v>3500</v>
      </c>
      <c r="H64" s="92">
        <v>3500</v>
      </c>
    </row>
    <row r="65" spans="1:8" ht="15.75" customHeight="1" thickTop="1" x14ac:dyDescent="0.2">
      <c r="A65" s="194" t="s">
        <v>496</v>
      </c>
      <c r="B65" s="93" t="s">
        <v>498</v>
      </c>
      <c r="C65" s="96" t="b">
        <v>0</v>
      </c>
      <c r="D65" s="96" t="b">
        <v>0</v>
      </c>
      <c r="E65" s="96" t="b">
        <v>0</v>
      </c>
      <c r="F65" s="96" t="b">
        <v>0</v>
      </c>
      <c r="G65" s="96" t="b">
        <v>0</v>
      </c>
      <c r="H65" s="96" t="b">
        <v>0</v>
      </c>
    </row>
    <row r="66" spans="1:8" ht="15.75" customHeight="1" x14ac:dyDescent="0.2">
      <c r="A66" s="195"/>
      <c r="B66" s="90" t="s">
        <v>494</v>
      </c>
      <c r="C66" s="95">
        <v>73600</v>
      </c>
      <c r="D66" s="95">
        <v>73600</v>
      </c>
      <c r="E66" s="95">
        <v>73600</v>
      </c>
      <c r="F66" s="95">
        <v>73600</v>
      </c>
      <c r="G66" s="95">
        <v>73600</v>
      </c>
      <c r="H66" s="95">
        <v>73600</v>
      </c>
    </row>
    <row r="67" spans="1:8" ht="16" x14ac:dyDescent="0.2">
      <c r="A67" s="195"/>
      <c r="B67" s="90" t="s">
        <v>499</v>
      </c>
      <c r="C67" s="59" t="b">
        <v>0</v>
      </c>
      <c r="D67" s="59" t="b">
        <v>0</v>
      </c>
      <c r="E67" s="59" t="b">
        <v>0</v>
      </c>
      <c r="F67" s="59" t="b">
        <v>0</v>
      </c>
      <c r="G67" s="59" t="b">
        <v>0</v>
      </c>
      <c r="H67" s="59" t="b">
        <v>0</v>
      </c>
    </row>
    <row r="68" spans="1:8" ht="16" x14ac:dyDescent="0.2">
      <c r="A68" s="195"/>
      <c r="B68" s="90" t="s">
        <v>497</v>
      </c>
      <c r="C68" s="95">
        <v>4</v>
      </c>
      <c r="D68" s="95">
        <v>4</v>
      </c>
      <c r="E68" s="95">
        <v>4</v>
      </c>
      <c r="F68" s="95">
        <v>4</v>
      </c>
      <c r="G68" s="95">
        <v>4</v>
      </c>
      <c r="H68" s="95">
        <v>4</v>
      </c>
    </row>
    <row r="69" spans="1:8" ht="16" x14ac:dyDescent="0.2">
      <c r="A69" s="195"/>
      <c r="B69" s="90" t="s">
        <v>500</v>
      </c>
      <c r="C69" s="59" t="b">
        <v>0</v>
      </c>
      <c r="D69" s="59" t="b">
        <v>0</v>
      </c>
      <c r="E69" s="59" t="b">
        <v>0</v>
      </c>
      <c r="F69" s="59" t="b">
        <v>0</v>
      </c>
      <c r="G69" s="59" t="b">
        <v>0</v>
      </c>
      <c r="H69" s="59" t="b">
        <v>0</v>
      </c>
    </row>
    <row r="70" spans="1:8" ht="15.75" customHeight="1" thickBot="1" x14ac:dyDescent="0.25">
      <c r="A70" s="193"/>
      <c r="B70" s="91" t="s">
        <v>495</v>
      </c>
      <c r="C70" s="92">
        <v>2400</v>
      </c>
      <c r="D70" s="92">
        <v>2400</v>
      </c>
      <c r="E70" s="92">
        <v>2400</v>
      </c>
      <c r="F70" s="92">
        <v>2400</v>
      </c>
      <c r="G70" s="92">
        <v>2400</v>
      </c>
      <c r="H70" s="92">
        <v>2400</v>
      </c>
    </row>
    <row r="71" spans="1:8" ht="15.75" customHeight="1" thickTop="1" x14ac:dyDescent="0.2">
      <c r="A71" s="194" t="s">
        <v>579</v>
      </c>
      <c r="B71" s="93" t="s">
        <v>258</v>
      </c>
      <c r="C71" s="96" t="b">
        <v>0</v>
      </c>
      <c r="D71" s="96" t="b">
        <v>0</v>
      </c>
      <c r="E71" s="96" t="b">
        <v>0</v>
      </c>
      <c r="F71" s="96" t="b">
        <v>0</v>
      </c>
      <c r="G71" s="96" t="b">
        <v>0</v>
      </c>
      <c r="H71" s="96" t="b">
        <v>0</v>
      </c>
    </row>
    <row r="72" spans="1:8" ht="15.75" customHeight="1" x14ac:dyDescent="0.2">
      <c r="A72" s="195"/>
      <c r="B72" s="90" t="s">
        <v>259</v>
      </c>
      <c r="C72" s="59" t="b">
        <v>0</v>
      </c>
      <c r="D72" s="59" t="b">
        <v>0</v>
      </c>
      <c r="E72" s="59" t="b">
        <v>0</v>
      </c>
      <c r="F72" s="59" t="b">
        <v>0</v>
      </c>
      <c r="G72" s="59" t="b">
        <v>0</v>
      </c>
      <c r="H72" s="59" t="b">
        <v>0</v>
      </c>
    </row>
    <row r="73" spans="1:8" ht="15.75" customHeight="1" thickBot="1" x14ac:dyDescent="0.25">
      <c r="A73" s="193"/>
      <c r="B73" s="91" t="s">
        <v>3</v>
      </c>
      <c r="C73" s="92">
        <v>0</v>
      </c>
      <c r="D73" s="92">
        <v>0</v>
      </c>
      <c r="E73" s="92">
        <v>0</v>
      </c>
      <c r="F73" s="92">
        <v>0</v>
      </c>
      <c r="G73" s="92">
        <v>0</v>
      </c>
      <c r="H73" s="92">
        <v>0</v>
      </c>
    </row>
    <row r="74" spans="1:8" ht="15.75" customHeight="1" thickTop="1" x14ac:dyDescent="0.2">
      <c r="A74" s="194" t="s">
        <v>580</v>
      </c>
      <c r="B74" s="93" t="s">
        <v>165</v>
      </c>
      <c r="C74" s="96" t="b">
        <v>0</v>
      </c>
      <c r="D74" s="96" t="b">
        <v>0</v>
      </c>
      <c r="E74" s="96" t="b">
        <v>0</v>
      </c>
      <c r="F74" s="96" t="b">
        <v>0</v>
      </c>
      <c r="G74" s="96" t="b">
        <v>0</v>
      </c>
      <c r="H74" s="96" t="b">
        <v>0</v>
      </c>
    </row>
    <row r="75" spans="1:8" ht="15.75" customHeight="1" x14ac:dyDescent="0.2">
      <c r="A75" s="195"/>
      <c r="B75" s="93" t="s">
        <v>581</v>
      </c>
      <c r="C75" s="96" t="b">
        <v>0</v>
      </c>
      <c r="D75" s="96" t="b">
        <v>0</v>
      </c>
      <c r="E75" s="96" t="b">
        <v>0</v>
      </c>
      <c r="F75" s="96" t="b">
        <v>0</v>
      </c>
      <c r="G75" s="96" t="b">
        <v>0</v>
      </c>
      <c r="H75" s="96" t="b">
        <v>0</v>
      </c>
    </row>
    <row r="76" spans="1:8" ht="15.75" customHeight="1" x14ac:dyDescent="0.2">
      <c r="A76" s="195"/>
      <c r="B76" s="127" t="s">
        <v>582</v>
      </c>
      <c r="C76" s="95">
        <v>1000</v>
      </c>
      <c r="D76" s="95">
        <v>1000</v>
      </c>
      <c r="E76" s="95">
        <v>1000</v>
      </c>
      <c r="F76" s="95">
        <v>1000</v>
      </c>
      <c r="G76" s="95">
        <v>1000</v>
      </c>
      <c r="H76" s="95">
        <v>1000</v>
      </c>
    </row>
    <row r="77" spans="1:8" ht="15.75" customHeight="1" thickBot="1" x14ac:dyDescent="0.25">
      <c r="A77" s="193"/>
      <c r="B77" s="91" t="s">
        <v>583</v>
      </c>
      <c r="C77" s="128">
        <v>0</v>
      </c>
      <c r="D77" s="128">
        <v>0</v>
      </c>
      <c r="E77" s="128">
        <v>0</v>
      </c>
      <c r="F77" s="128">
        <v>0</v>
      </c>
      <c r="G77" s="128">
        <v>0</v>
      </c>
      <c r="H77" s="128">
        <v>0</v>
      </c>
    </row>
    <row r="78" spans="1:8" ht="15.75" customHeight="1" thickTop="1" x14ac:dyDescent="0.2">
      <c r="A78" s="194" t="s">
        <v>584</v>
      </c>
      <c r="B78" s="93" t="s">
        <v>452</v>
      </c>
      <c r="C78" s="96" t="b">
        <v>0</v>
      </c>
      <c r="D78" s="96" t="b">
        <v>0</v>
      </c>
      <c r="E78" s="96" t="b">
        <v>0</v>
      </c>
      <c r="F78" s="96" t="b">
        <v>0</v>
      </c>
      <c r="G78" s="96" t="b">
        <v>0</v>
      </c>
      <c r="H78" s="96" t="b">
        <v>0</v>
      </c>
    </row>
    <row r="79" spans="1:8" ht="15.75" customHeight="1" x14ac:dyDescent="0.2">
      <c r="A79" s="195"/>
      <c r="B79" s="90" t="s">
        <v>462</v>
      </c>
      <c r="C79" s="59" t="s">
        <v>463</v>
      </c>
      <c r="D79" s="59" t="s">
        <v>463</v>
      </c>
      <c r="E79" s="59" t="s">
        <v>463</v>
      </c>
      <c r="F79" s="59" t="s">
        <v>463</v>
      </c>
      <c r="G79" s="59" t="s">
        <v>463</v>
      </c>
      <c r="H79" s="59" t="s">
        <v>463</v>
      </c>
    </row>
    <row r="80" spans="1:8" ht="16" x14ac:dyDescent="0.2">
      <c r="A80" s="195"/>
      <c r="B80" s="90" t="s">
        <v>453</v>
      </c>
      <c r="C80" s="59" t="b">
        <v>0</v>
      </c>
      <c r="D80" s="59" t="b">
        <v>0</v>
      </c>
      <c r="E80" s="59" t="b">
        <v>0</v>
      </c>
      <c r="F80" s="59" t="b">
        <v>0</v>
      </c>
      <c r="G80" s="59" t="b">
        <v>0</v>
      </c>
      <c r="H80" s="59" t="b">
        <v>0</v>
      </c>
    </row>
    <row r="81" spans="1:8" ht="16" x14ac:dyDescent="0.2">
      <c r="A81" s="195"/>
      <c r="B81" s="90" t="s">
        <v>267</v>
      </c>
      <c r="C81" s="95">
        <v>2022</v>
      </c>
      <c r="D81" s="95">
        <v>2022</v>
      </c>
      <c r="E81" s="95">
        <v>2022</v>
      </c>
      <c r="F81" s="95">
        <v>2022</v>
      </c>
      <c r="G81" s="95">
        <v>2022</v>
      </c>
      <c r="H81" s="95">
        <v>2022</v>
      </c>
    </row>
    <row r="82" spans="1:8" ht="16" x14ac:dyDescent="0.2">
      <c r="A82" s="195"/>
      <c r="B82" s="90" t="s">
        <v>502</v>
      </c>
      <c r="C82" s="98">
        <v>0.8</v>
      </c>
      <c r="D82" s="98">
        <v>0.8</v>
      </c>
      <c r="E82" s="98">
        <v>0.8</v>
      </c>
      <c r="F82" s="98">
        <v>0.8</v>
      </c>
      <c r="G82" s="98">
        <v>0.8</v>
      </c>
      <c r="H82" s="98">
        <v>0.8</v>
      </c>
    </row>
    <row r="83" spans="1:8" ht="15.75" customHeight="1" thickBot="1" x14ac:dyDescent="0.25">
      <c r="A83" s="193"/>
      <c r="B83" s="91" t="s">
        <v>451</v>
      </c>
      <c r="C83" s="92">
        <v>8900</v>
      </c>
      <c r="D83" s="92">
        <v>8900</v>
      </c>
      <c r="E83" s="92">
        <v>8900</v>
      </c>
      <c r="F83" s="92">
        <v>8900</v>
      </c>
      <c r="G83" s="92">
        <v>8900</v>
      </c>
      <c r="H83" s="92">
        <v>8900</v>
      </c>
    </row>
    <row r="84" spans="1:8" ht="15.75" customHeight="1" thickTop="1" x14ac:dyDescent="0.2">
      <c r="A84" s="194" t="s">
        <v>585</v>
      </c>
      <c r="B84" s="93" t="s">
        <v>164</v>
      </c>
      <c r="C84" s="96" t="b">
        <v>0</v>
      </c>
      <c r="D84" s="96" t="b">
        <v>0</v>
      </c>
      <c r="E84" s="96" t="b">
        <v>0</v>
      </c>
      <c r="F84" s="96" t="b">
        <v>0</v>
      </c>
      <c r="G84" s="96" t="b">
        <v>0</v>
      </c>
      <c r="H84" s="96" t="b">
        <v>0</v>
      </c>
    </row>
    <row r="85" spans="1:8" ht="16" x14ac:dyDescent="0.2">
      <c r="A85" s="195"/>
      <c r="B85" s="90" t="s">
        <v>501</v>
      </c>
      <c r="C85" s="98">
        <v>0.8</v>
      </c>
      <c r="D85" s="98">
        <v>0.8</v>
      </c>
      <c r="E85" s="98">
        <v>0.8</v>
      </c>
      <c r="F85" s="98">
        <v>0.8</v>
      </c>
      <c r="G85" s="98">
        <v>0.8</v>
      </c>
      <c r="H85" s="98">
        <v>0.8</v>
      </c>
    </row>
    <row r="86" spans="1:8" ht="17" thickBot="1" x14ac:dyDescent="0.25">
      <c r="A86" s="193"/>
      <c r="B86" s="91" t="s">
        <v>268</v>
      </c>
      <c r="C86" s="92">
        <v>2035</v>
      </c>
      <c r="D86" s="92">
        <v>2035</v>
      </c>
      <c r="E86" s="92">
        <v>2035</v>
      </c>
      <c r="F86" s="92">
        <v>2035</v>
      </c>
      <c r="G86" s="92">
        <v>2035</v>
      </c>
      <c r="H86" s="92">
        <v>2035</v>
      </c>
    </row>
    <row r="87" spans="1:8" ht="17" thickTop="1" x14ac:dyDescent="0.2">
      <c r="A87" s="194" t="s">
        <v>435</v>
      </c>
      <c r="B87" s="93" t="s">
        <v>436</v>
      </c>
      <c r="C87" s="96" t="b">
        <v>0</v>
      </c>
      <c r="D87" s="96" t="b">
        <v>0</v>
      </c>
      <c r="E87" s="96" t="b">
        <v>0</v>
      </c>
      <c r="F87" s="96" t="b">
        <v>0</v>
      </c>
      <c r="G87" s="96" t="b">
        <v>0</v>
      </c>
      <c r="H87" s="96" t="b">
        <v>0</v>
      </c>
    </row>
    <row r="88" spans="1:8" ht="16" x14ac:dyDescent="0.2">
      <c r="A88" s="195"/>
      <c r="B88" s="90" t="s">
        <v>437</v>
      </c>
      <c r="C88" s="95" t="s">
        <v>588</v>
      </c>
      <c r="D88" s="95" t="s">
        <v>588</v>
      </c>
      <c r="E88" s="95" t="s">
        <v>588</v>
      </c>
      <c r="F88" s="95" t="s">
        <v>588</v>
      </c>
      <c r="G88" s="95" t="s">
        <v>588</v>
      </c>
      <c r="H88" s="95" t="s">
        <v>588</v>
      </c>
    </row>
    <row r="89" spans="1:8" ht="17" thickBot="1" x14ac:dyDescent="0.25">
      <c r="A89" s="193"/>
      <c r="B89" s="91" t="s">
        <v>1417</v>
      </c>
      <c r="C89" s="92" t="b">
        <v>0</v>
      </c>
      <c r="D89" s="92" t="b">
        <v>0</v>
      </c>
      <c r="E89" s="92" t="b">
        <v>0</v>
      </c>
      <c r="F89" s="92" t="b">
        <v>0</v>
      </c>
      <c r="G89" s="92" t="b">
        <v>0</v>
      </c>
      <c r="H89" s="92" t="b">
        <v>0</v>
      </c>
    </row>
    <row r="90" spans="1:8" ht="17" thickTop="1" x14ac:dyDescent="0.2">
      <c r="A90" s="194" t="s">
        <v>460</v>
      </c>
      <c r="B90" s="93" t="s">
        <v>457</v>
      </c>
      <c r="C90" s="94" t="s">
        <v>370</v>
      </c>
      <c r="D90" s="94" t="s">
        <v>370</v>
      </c>
      <c r="E90" s="94" t="s">
        <v>370</v>
      </c>
      <c r="F90" s="94" t="s">
        <v>370</v>
      </c>
      <c r="G90" s="94" t="s">
        <v>370</v>
      </c>
      <c r="H90" s="94" t="s">
        <v>370</v>
      </c>
    </row>
    <row r="91" spans="1:8" ht="16" x14ac:dyDescent="0.2">
      <c r="A91" s="195"/>
      <c r="B91" s="90" t="s">
        <v>458</v>
      </c>
      <c r="C91" s="95" t="s">
        <v>370</v>
      </c>
      <c r="D91" s="95" t="s">
        <v>370</v>
      </c>
      <c r="E91" s="95" t="s">
        <v>370</v>
      </c>
      <c r="F91" s="95" t="s">
        <v>370</v>
      </c>
      <c r="G91" s="95" t="s">
        <v>370</v>
      </c>
      <c r="H91" s="95" t="s">
        <v>370</v>
      </c>
    </row>
    <row r="92" spans="1:8" ht="16" x14ac:dyDescent="0.2">
      <c r="A92" s="195"/>
      <c r="B92" s="105" t="s">
        <v>459</v>
      </c>
      <c r="C92" s="132" t="s">
        <v>370</v>
      </c>
      <c r="D92" s="132" t="s">
        <v>370</v>
      </c>
      <c r="E92" s="132" t="s">
        <v>370</v>
      </c>
      <c r="F92" s="132" t="s">
        <v>370</v>
      </c>
      <c r="G92" s="132" t="s">
        <v>370</v>
      </c>
      <c r="H92" s="132" t="s">
        <v>370</v>
      </c>
    </row>
    <row r="93" spans="1:8" ht="17" thickBot="1" x14ac:dyDescent="0.25">
      <c r="A93" s="193"/>
      <c r="B93" s="91" t="s">
        <v>597</v>
      </c>
      <c r="C93" s="99" t="s">
        <v>370</v>
      </c>
      <c r="D93" s="99" t="s">
        <v>370</v>
      </c>
      <c r="E93" s="99" t="s">
        <v>370</v>
      </c>
      <c r="F93" s="99" t="s">
        <v>370</v>
      </c>
      <c r="G93" s="99" t="s">
        <v>370</v>
      </c>
      <c r="H93" s="99" t="s">
        <v>370</v>
      </c>
    </row>
    <row r="94" spans="1:8" ht="17" thickTop="1" x14ac:dyDescent="0.2">
      <c r="A94" s="194" t="s">
        <v>409</v>
      </c>
      <c r="B94" s="93" t="s">
        <v>412</v>
      </c>
      <c r="C94" s="94" t="s">
        <v>370</v>
      </c>
      <c r="D94" s="94" t="s">
        <v>370</v>
      </c>
      <c r="E94" s="94" t="s">
        <v>370</v>
      </c>
      <c r="F94" s="94" t="s">
        <v>370</v>
      </c>
      <c r="G94" s="94" t="s">
        <v>370</v>
      </c>
      <c r="H94" s="94" t="s">
        <v>370</v>
      </c>
    </row>
    <row r="95" spans="1:8" ht="16" x14ac:dyDescent="0.2">
      <c r="A95" s="195"/>
      <c r="B95" s="90" t="s">
        <v>413</v>
      </c>
      <c r="C95" s="95" t="s">
        <v>370</v>
      </c>
      <c r="D95" s="95" t="s">
        <v>370</v>
      </c>
      <c r="E95" s="95" t="s">
        <v>370</v>
      </c>
      <c r="F95" s="95" t="s">
        <v>370</v>
      </c>
      <c r="G95" s="95" t="s">
        <v>370</v>
      </c>
      <c r="H95" s="95" t="s">
        <v>370</v>
      </c>
    </row>
    <row r="96" spans="1:8" ht="16" x14ac:dyDescent="0.2">
      <c r="A96" s="195"/>
      <c r="B96" s="90" t="s">
        <v>476</v>
      </c>
      <c r="C96" s="59" t="b">
        <v>0</v>
      </c>
      <c r="D96" s="59" t="b">
        <v>0</v>
      </c>
      <c r="E96" s="59" t="b">
        <v>0</v>
      </c>
      <c r="F96" s="59" t="b">
        <v>0</v>
      </c>
      <c r="G96" s="59" t="b">
        <v>0</v>
      </c>
      <c r="H96" s="59" t="b">
        <v>0</v>
      </c>
    </row>
    <row r="97" spans="1:8" ht="16" x14ac:dyDescent="0.2">
      <c r="A97" s="195"/>
      <c r="B97" s="90" t="s">
        <v>474</v>
      </c>
      <c r="C97" s="95">
        <v>0.1</v>
      </c>
      <c r="D97" s="95">
        <v>0.1</v>
      </c>
      <c r="E97" s="95">
        <v>0.1</v>
      </c>
      <c r="F97" s="95">
        <v>0.1</v>
      </c>
      <c r="G97" s="95">
        <v>0.1</v>
      </c>
      <c r="H97" s="95">
        <v>0.1</v>
      </c>
    </row>
    <row r="98" spans="1:8" ht="16" x14ac:dyDescent="0.2">
      <c r="A98" s="195"/>
      <c r="B98" s="90" t="s">
        <v>475</v>
      </c>
      <c r="C98" s="59" t="b">
        <v>1</v>
      </c>
      <c r="D98" s="59" t="b">
        <v>1</v>
      </c>
      <c r="E98" s="59" t="b">
        <v>1</v>
      </c>
      <c r="F98" s="59" t="b">
        <v>1</v>
      </c>
      <c r="G98" s="59" t="b">
        <v>1</v>
      </c>
      <c r="H98" s="59" t="b">
        <v>1</v>
      </c>
    </row>
    <row r="99" spans="1:8" ht="15.75" customHeight="1" thickBot="1" x14ac:dyDescent="0.25">
      <c r="A99" s="193"/>
      <c r="B99" s="91" t="s">
        <v>411</v>
      </c>
      <c r="C99" s="99" t="s">
        <v>1237</v>
      </c>
      <c r="D99" s="99" t="s">
        <v>1237</v>
      </c>
      <c r="E99" s="99" t="s">
        <v>1237</v>
      </c>
      <c r="F99" s="99" t="s">
        <v>1237</v>
      </c>
      <c r="G99" s="99" t="s">
        <v>1237</v>
      </c>
      <c r="H99" s="99" t="s">
        <v>1237</v>
      </c>
    </row>
    <row r="100" spans="1:8" ht="17" thickTop="1" x14ac:dyDescent="0.2">
      <c r="A100" s="194" t="s">
        <v>410</v>
      </c>
      <c r="B100" s="93" t="s">
        <v>1418</v>
      </c>
      <c r="C100" s="96" t="b">
        <v>1</v>
      </c>
      <c r="D100" s="96" t="b">
        <v>1</v>
      </c>
      <c r="E100" s="96" t="b">
        <v>1</v>
      </c>
      <c r="F100" s="96" t="b">
        <v>1</v>
      </c>
      <c r="G100" s="96" t="b">
        <v>1</v>
      </c>
      <c r="H100" s="96" t="b">
        <v>1</v>
      </c>
    </row>
    <row r="101" spans="1:8" ht="16" x14ac:dyDescent="0.2">
      <c r="A101" s="195"/>
      <c r="B101" s="90" t="s">
        <v>379</v>
      </c>
      <c r="C101" s="95" t="s">
        <v>79</v>
      </c>
      <c r="D101" s="95" t="s">
        <v>79</v>
      </c>
      <c r="E101" s="95" t="s">
        <v>79</v>
      </c>
      <c r="F101" s="95" t="s">
        <v>79</v>
      </c>
      <c r="G101" s="95" t="s">
        <v>79</v>
      </c>
      <c r="H101" s="95" t="s">
        <v>79</v>
      </c>
    </row>
    <row r="102" spans="1:8" ht="16" x14ac:dyDescent="0.2">
      <c r="A102" s="195"/>
      <c r="B102" s="90" t="s">
        <v>0</v>
      </c>
      <c r="C102" s="100">
        <v>1</v>
      </c>
      <c r="D102" s="100">
        <v>1</v>
      </c>
      <c r="E102" s="100">
        <v>1</v>
      </c>
      <c r="F102" s="100">
        <v>1</v>
      </c>
      <c r="G102" s="100">
        <v>1</v>
      </c>
      <c r="H102" s="100">
        <v>1</v>
      </c>
    </row>
    <row r="103" spans="1:8" ht="16" x14ac:dyDescent="0.2">
      <c r="A103" s="195"/>
      <c r="B103" s="90" t="s">
        <v>1</v>
      </c>
      <c r="C103" s="100">
        <v>0</v>
      </c>
      <c r="D103" s="100">
        <v>0</v>
      </c>
      <c r="E103" s="100">
        <v>0</v>
      </c>
      <c r="F103" s="100">
        <v>0</v>
      </c>
      <c r="G103" s="100">
        <v>0</v>
      </c>
      <c r="H103" s="100">
        <v>0</v>
      </c>
    </row>
    <row r="104" spans="1:8" ht="16" x14ac:dyDescent="0.2">
      <c r="A104" s="195"/>
      <c r="B104" s="90" t="s">
        <v>109</v>
      </c>
      <c r="C104" s="100">
        <v>0</v>
      </c>
      <c r="D104" s="100">
        <v>0</v>
      </c>
      <c r="E104" s="100">
        <v>0</v>
      </c>
      <c r="F104" s="100">
        <v>0</v>
      </c>
      <c r="G104" s="100">
        <v>0</v>
      </c>
      <c r="H104" s="100">
        <v>0</v>
      </c>
    </row>
    <row r="105" spans="1:8" ht="17" thickBot="1" x14ac:dyDescent="0.25">
      <c r="A105" s="193"/>
      <c r="B105" s="91" t="s">
        <v>110</v>
      </c>
      <c r="C105" s="101">
        <v>0</v>
      </c>
      <c r="D105" s="101">
        <v>0</v>
      </c>
      <c r="E105" s="101">
        <v>0</v>
      </c>
      <c r="F105" s="101">
        <v>0</v>
      </c>
      <c r="G105" s="101">
        <v>0</v>
      </c>
      <c r="H105" s="101">
        <v>0</v>
      </c>
    </row>
    <row r="106" spans="1:8" ht="16" thickTop="1" x14ac:dyDescent="0.2"/>
  </sheetData>
  <mergeCells count="21">
    <mergeCell ref="A87:A89"/>
    <mergeCell ref="A90:A93"/>
    <mergeCell ref="A94:A99"/>
    <mergeCell ref="A100:A105"/>
    <mergeCell ref="A65:A70"/>
    <mergeCell ref="A71:A73"/>
    <mergeCell ref="A74:A77"/>
    <mergeCell ref="A78:A83"/>
    <mergeCell ref="A84:A86"/>
    <mergeCell ref="A43:A45"/>
    <mergeCell ref="A46:A48"/>
    <mergeCell ref="A49:A50"/>
    <mergeCell ref="A56:A59"/>
    <mergeCell ref="A60:A64"/>
    <mergeCell ref="A51:A55"/>
    <mergeCell ref="A37:A42"/>
    <mergeCell ref="A3:A4"/>
    <mergeCell ref="A5:A10"/>
    <mergeCell ref="A11:A22"/>
    <mergeCell ref="A23:A28"/>
    <mergeCell ref="A29:A36"/>
  </mergeCells>
  <conditionalFormatting sqref="C13:E13 C16:E18">
    <cfRule type="cellIs" dxfId="42" priority="27" operator="equal">
      <formula>TRUE</formula>
    </cfRule>
  </conditionalFormatting>
  <conditionalFormatting sqref="C16:E43 C43:H43 C4:E13 C41:H41">
    <cfRule type="expression" dxfId="41" priority="26">
      <formula>C$3=FALSE</formula>
    </cfRule>
  </conditionalFormatting>
  <conditionalFormatting sqref="C21:E27">
    <cfRule type="cellIs" dxfId="40" priority="33" operator="equal">
      <formula>TRUE</formula>
    </cfRule>
  </conditionalFormatting>
  <conditionalFormatting sqref="C29:E31">
    <cfRule type="cellIs" dxfId="39" priority="44" operator="equal">
      <formula>TRUE</formula>
    </cfRule>
  </conditionalFormatting>
  <conditionalFormatting sqref="C29:E36">
    <cfRule type="expression" dxfId="38" priority="30">
      <formula>C$29=FALSE</formula>
    </cfRule>
  </conditionalFormatting>
  <conditionalFormatting sqref="C35:E40">
    <cfRule type="cellIs" dxfId="37" priority="32" operator="equal">
      <formula>TRUE</formula>
    </cfRule>
  </conditionalFormatting>
  <conditionalFormatting sqref="C3:H3">
    <cfRule type="expression" dxfId="36" priority="48">
      <formula>#REF!=FALSE</formula>
    </cfRule>
    <cfRule type="cellIs" dxfId="35" priority="47" operator="equal">
      <formula>TRUE</formula>
    </cfRule>
    <cfRule type="colorScale" priority="49">
      <colorScale>
        <cfvo type="min"/>
        <cfvo type="max"/>
        <color rgb="FFFF7128"/>
        <color rgb="FFFFEF9C"/>
      </colorScale>
    </cfRule>
  </conditionalFormatting>
  <conditionalFormatting sqref="C11:H11">
    <cfRule type="cellIs" dxfId="34" priority="28" operator="equal">
      <formula>TRUE</formula>
    </cfRule>
  </conditionalFormatting>
  <conditionalFormatting sqref="C11:H22">
    <cfRule type="expression" dxfId="33" priority="4">
      <formula>C$11=FALSE</formula>
    </cfRule>
  </conditionalFormatting>
  <conditionalFormatting sqref="C14:H15">
    <cfRule type="expression" dxfId="32" priority="2">
      <formula>C$3=FALSE</formula>
    </cfRule>
  </conditionalFormatting>
  <conditionalFormatting sqref="C23:H28">
    <cfRule type="expression" dxfId="31" priority="17">
      <formula>C$23=FALSE</formula>
    </cfRule>
  </conditionalFormatting>
  <conditionalFormatting sqref="C37:H42">
    <cfRule type="expression" dxfId="30" priority="15">
      <formula>C$37=FALSE</formula>
    </cfRule>
  </conditionalFormatting>
  <conditionalFormatting sqref="C43:H43">
    <cfRule type="cellIs" dxfId="29" priority="25" operator="equal">
      <formula>TRUE</formula>
    </cfRule>
  </conditionalFormatting>
  <conditionalFormatting sqref="C44:H105">
    <cfRule type="expression" dxfId="28" priority="1">
      <formula>C$3=FALSE</formula>
    </cfRule>
  </conditionalFormatting>
  <conditionalFormatting sqref="C46:H46">
    <cfRule type="cellIs" dxfId="27" priority="37" operator="equal">
      <formula>TRUE</formula>
    </cfRule>
  </conditionalFormatting>
  <conditionalFormatting sqref="C65:H65">
    <cfRule type="cellIs" dxfId="26" priority="41" operator="equal">
      <formula>TRUE</formula>
    </cfRule>
  </conditionalFormatting>
  <conditionalFormatting sqref="C67:H67">
    <cfRule type="cellIs" dxfId="25" priority="40" operator="equal">
      <formula>TRUE</formula>
    </cfRule>
  </conditionalFormatting>
  <conditionalFormatting sqref="C69:H69">
    <cfRule type="cellIs" dxfId="24" priority="39" operator="equal">
      <formula>TRUE</formula>
    </cfRule>
  </conditionalFormatting>
  <conditionalFormatting sqref="C71:H72">
    <cfRule type="cellIs" dxfId="23" priority="31" operator="equal">
      <formula>TRUE</formula>
    </cfRule>
  </conditionalFormatting>
  <conditionalFormatting sqref="C74:H76">
    <cfRule type="cellIs" dxfId="22" priority="35" operator="equal">
      <formula>TRUE</formula>
    </cfRule>
  </conditionalFormatting>
  <conditionalFormatting sqref="C78:H80">
    <cfRule type="cellIs" dxfId="21" priority="34" operator="equal">
      <formula>TRUE</formula>
    </cfRule>
  </conditionalFormatting>
  <conditionalFormatting sqref="C82:H82">
    <cfRule type="cellIs" dxfId="20" priority="38" operator="equal">
      <formula>TRUE</formula>
    </cfRule>
  </conditionalFormatting>
  <conditionalFormatting sqref="C84:H85">
    <cfRule type="cellIs" dxfId="19" priority="36" operator="equal">
      <formula>TRUE</formula>
    </cfRule>
  </conditionalFormatting>
  <conditionalFormatting sqref="C87:H87">
    <cfRule type="cellIs" dxfId="18" priority="45" operator="equal">
      <formula>TRUE</formula>
    </cfRule>
  </conditionalFormatting>
  <conditionalFormatting sqref="C96:H96">
    <cfRule type="cellIs" dxfId="17" priority="43" operator="equal">
      <formula>TRUE</formula>
    </cfRule>
  </conditionalFormatting>
  <conditionalFormatting sqref="C98:H98">
    <cfRule type="cellIs" dxfId="16" priority="42" operator="equal">
      <formula>TRUE</formula>
    </cfRule>
  </conditionalFormatting>
  <conditionalFormatting sqref="C100:H100">
    <cfRule type="cellIs" dxfId="15" priority="46" operator="equal">
      <formula>TRUE</formula>
    </cfRule>
  </conditionalFormatting>
  <conditionalFormatting sqref="D51:H55">
    <cfRule type="expression" dxfId="14" priority="7">
      <formula>D$3=FALSE</formula>
    </cfRule>
  </conditionalFormatting>
  <conditionalFormatting sqref="E29">
    <cfRule type="cellIs" dxfId="13" priority="29" operator="equal">
      <formula>TRUE</formula>
    </cfRule>
  </conditionalFormatting>
  <conditionalFormatting sqref="F4:H42">
    <cfRule type="expression" dxfId="12" priority="3">
      <formula>F$3=FALSE</formula>
    </cfRule>
  </conditionalFormatting>
  <conditionalFormatting sqref="F13:H13 F16:H18">
    <cfRule type="cellIs" dxfId="11" priority="13" operator="equal">
      <formula>TRUE</formula>
    </cfRule>
  </conditionalFormatting>
  <conditionalFormatting sqref="F21:H27">
    <cfRule type="cellIs" dxfId="10" priority="20" operator="equal">
      <formula>TRUE</formula>
    </cfRule>
  </conditionalFormatting>
  <conditionalFormatting sqref="F29:H31">
    <cfRule type="cellIs" dxfId="9" priority="24" operator="equal">
      <formula>TRUE</formula>
    </cfRule>
  </conditionalFormatting>
  <conditionalFormatting sqref="F29:H36">
    <cfRule type="expression" dxfId="8" priority="16">
      <formula>F$29=FALSE</formula>
    </cfRule>
  </conditionalFormatting>
  <conditionalFormatting sqref="F35:H40">
    <cfRule type="cellIs" dxfId="7" priority="19" operator="equal">
      <formula>TRUE</formula>
    </cfRule>
  </conditionalFormatting>
  <conditionalFormatting sqref="H29">
    <cfRule type="cellIs" dxfId="6" priority="14" operator="equal">
      <formula>TRUE</formula>
    </cfRule>
  </conditionalFormatting>
  <dataValidations count="9">
    <dataValidation type="list" allowBlank="1" showInputMessage="1" showErrorMessage="1" sqref="C13:H13 C21:H23 C40:H40 C35:H38 C17:H17 C52:H55 C25:H27 C29:H30 C11:H11 C65:H65 C71:H72 C67:H67 C46:H46 C96:H96 C98:H98 C87:H87 C80:H80 C69:H69 C84:H84 C78:H78 C74:H75 C103:H103 C100:H100 C3:H3" xr:uid="{06C4D89B-5217-2443-A7AB-92C78DD0DF21}">
      <formula1>"True, False"</formula1>
    </dataValidation>
    <dataValidation type="list" allowBlank="1" showInputMessage="1" showErrorMessage="1" sqref="C99:H99" xr:uid="{B87D1BB9-94CF-234B-8439-0C12706FD38A}">
      <formula1>"NA, Fixed Profile, Budget (day groups), Budget (annual)"</formula1>
    </dataValidation>
    <dataValidation type="list" allowBlank="1" showInputMessage="1" showErrorMessage="1" sqref="C32:H32 C12:H12" xr:uid="{CCC06BE9-5466-ED4A-9116-71CBA0D7460F}">
      <formula1>"Unit Commitment, Economic Dispatch"</formula1>
    </dataValidation>
    <dataValidation type="list" allowBlank="1" showInputMessage="1" showErrorMessage="1" sqref="C8:H10" xr:uid="{29818711-CBC7-E74A-9D1C-F74E1239FB49}">
      <formula1>"Manual, Scenario Reduction"</formula1>
    </dataValidation>
    <dataValidation type="list" allowBlank="1" showInputMessage="1" showErrorMessage="1" sqref="C79:H79" xr:uid="{D9890A63-A839-F248-8DC5-1CEA5D404ED5}">
      <formula1>"Annual, Daygroup"</formula1>
    </dataValidation>
    <dataValidation type="list" allowBlank="1" showInputMessage="1" showErrorMessage="1" sqref="C47:H47" xr:uid="{CACC7421-C0A4-6342-832D-FF8BB7687B73}">
      <formula1>"minimum, maximum"</formula1>
    </dataValidation>
    <dataValidation type="list" allowBlank="1" showInputMessage="1" showErrorMessage="1" sqref="C50:H50" xr:uid="{8D5D0901-5E5D-3244-8548-56B1403081CC}">
      <formula1>"Optimal, Minimum, Middle, Maximum"</formula1>
    </dataValidation>
    <dataValidation type="list" allowBlank="1" showInputMessage="1" showErrorMessage="1" sqref="C16:H16 C18:H18" xr:uid="{29BFC147-3551-B34F-9816-CB3D90A674F6}">
      <formula1>"individual, aggregated"</formula1>
    </dataValidation>
    <dataValidation type="list" allowBlank="1" showInputMessage="1" showErrorMessage="1" sqref="C43:H43" xr:uid="{42038A31-F566-994D-A042-E1D70249C6F8}">
      <formula1>"systemwide, regional"</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979A-27C7-445D-896A-D22C556B819C}">
  <sheetPr codeName="Sheet6">
    <tabColor theme="9"/>
  </sheetPr>
  <dimension ref="K33:T63"/>
  <sheetViews>
    <sheetView workbookViewId="0">
      <selection activeCell="K67" sqref="K67"/>
    </sheetView>
  </sheetViews>
  <sheetFormatPr baseColWidth="10" defaultColWidth="9.33203125" defaultRowHeight="15" x14ac:dyDescent="0.2"/>
  <cols>
    <col min="1" max="16384" width="9.33203125" style="22"/>
  </cols>
  <sheetData>
    <row r="33" spans="11:11" x14ac:dyDescent="0.2">
      <c r="K33" s="34"/>
    </row>
    <row r="63" spans="20:20" x14ac:dyDescent="0.2">
      <c r="T63" s="22" t="s">
        <v>1292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F57A-7DB3-45D4-88E8-9EFE1DE0898B}">
  <sheetPr codeName="Sheet7">
    <tabColor theme="9" tint="0.79998168889431442"/>
  </sheetPr>
  <dimension ref="A1:E3"/>
  <sheetViews>
    <sheetView zoomScale="115" zoomScaleNormal="115" workbookViewId="0">
      <pane ySplit="2" topLeftCell="A3" activePane="bottomLeft" state="frozen"/>
      <selection pane="bottomLeft" activeCell="C35" sqref="C35"/>
    </sheetView>
  </sheetViews>
  <sheetFormatPr baseColWidth="10" defaultColWidth="8.83203125" defaultRowHeight="15" x14ac:dyDescent="0.2"/>
  <cols>
    <col min="1" max="1" width="35.83203125" customWidth="1"/>
    <col min="2" max="2" width="22.83203125" customWidth="1"/>
    <col min="3" max="5" width="28.5" customWidth="1"/>
  </cols>
  <sheetData>
    <row r="1" spans="1:5" x14ac:dyDescent="0.2">
      <c r="A1" s="125"/>
      <c r="B1" s="125"/>
      <c r="C1" s="125"/>
      <c r="D1" s="125"/>
      <c r="E1" s="125"/>
    </row>
    <row r="2" spans="1:5" ht="18" thickBot="1" x14ac:dyDescent="0.25">
      <c r="A2" s="1" t="s">
        <v>974</v>
      </c>
      <c r="B2" s="1" t="s">
        <v>975</v>
      </c>
      <c r="C2" s="2" t="s">
        <v>976</v>
      </c>
      <c r="D2" s="2" t="s">
        <v>458</v>
      </c>
      <c r="E2" s="2" t="s">
        <v>459</v>
      </c>
    </row>
    <row r="3" spans="1:5" ht="16" thickTop="1" x14ac:dyDescent="0.2">
      <c r="A3" s="140" t="s">
        <v>977</v>
      </c>
      <c r="B3" s="66" t="b">
        <v>1</v>
      </c>
      <c r="C3" s="141">
        <v>1</v>
      </c>
      <c r="D3" s="7" t="s">
        <v>370</v>
      </c>
      <c r="E3" s="7" t="s">
        <v>370</v>
      </c>
    </row>
  </sheetData>
  <conditionalFormatting sqref="B3">
    <cfRule type="cellIs" dxfId="5" priority="1" operator="equal">
      <formula>TRUE</formula>
    </cfRule>
  </conditionalFormatting>
  <dataValidations count="1">
    <dataValidation type="list" allowBlank="1" showInputMessage="1" showErrorMessage="1" sqref="B3" xr:uid="{83B26340-3849-409D-A834-CD94F63497CB}">
      <formula1>"True"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9" tint="0.79998168889431442"/>
  </sheetPr>
  <dimension ref="A1:C21"/>
  <sheetViews>
    <sheetView zoomScale="115" zoomScaleNormal="115" workbookViewId="0">
      <pane ySplit="2" topLeftCell="A3" activePane="bottomLeft" state="frozen"/>
      <selection pane="bottomLeft" activeCell="B24" sqref="B24"/>
    </sheetView>
  </sheetViews>
  <sheetFormatPr baseColWidth="10" defaultColWidth="8.83203125" defaultRowHeight="15" x14ac:dyDescent="0.2"/>
  <cols>
    <col min="1" max="1" width="43.33203125" customWidth="1"/>
    <col min="2" max="2" width="45.6640625" customWidth="1"/>
    <col min="3" max="3" width="137.33203125" customWidth="1"/>
  </cols>
  <sheetData>
    <row r="1" spans="1:3" x14ac:dyDescent="0.2">
      <c r="A1" s="125"/>
      <c r="B1" s="125"/>
      <c r="C1" s="125"/>
    </row>
    <row r="2" spans="1:3" ht="18" customHeight="1" thickBot="1" x14ac:dyDescent="0.25">
      <c r="A2" s="157" t="s">
        <v>4</v>
      </c>
      <c r="B2" s="157" t="s">
        <v>5</v>
      </c>
      <c r="C2" s="158" t="s">
        <v>6</v>
      </c>
    </row>
    <row r="3" spans="1:3" ht="16" customHeight="1" thickTop="1" x14ac:dyDescent="0.2">
      <c r="A3" s="4" t="s">
        <v>10</v>
      </c>
      <c r="B3" s="41" t="s">
        <v>13</v>
      </c>
      <c r="C3" s="7" t="s">
        <v>1362</v>
      </c>
    </row>
    <row r="4" spans="1:3" x14ac:dyDescent="0.2">
      <c r="A4" s="5" t="s">
        <v>1294</v>
      </c>
      <c r="B4" s="14" t="s">
        <v>1295</v>
      </c>
      <c r="C4" s="6" t="s">
        <v>1363</v>
      </c>
    </row>
    <row r="5" spans="1:3" x14ac:dyDescent="0.2">
      <c r="A5" s="5" t="s">
        <v>12</v>
      </c>
      <c r="B5" s="14" t="b">
        <v>1</v>
      </c>
      <c r="C5" s="6" t="s">
        <v>1364</v>
      </c>
    </row>
    <row r="6" spans="1:3" x14ac:dyDescent="0.2">
      <c r="A6" s="5" t="s">
        <v>14</v>
      </c>
      <c r="B6" s="16" t="b">
        <v>0</v>
      </c>
      <c r="C6" s="6" t="s">
        <v>1365</v>
      </c>
    </row>
    <row r="7" spans="1:3" x14ac:dyDescent="0.2">
      <c r="A7" s="5" t="s">
        <v>15</v>
      </c>
      <c r="B7" s="16" t="b">
        <v>1</v>
      </c>
      <c r="C7" s="6" t="s">
        <v>1366</v>
      </c>
    </row>
    <row r="8" spans="1:3" x14ac:dyDescent="0.2">
      <c r="A8" s="5" t="s">
        <v>16</v>
      </c>
      <c r="B8" s="16" t="b">
        <v>0</v>
      </c>
      <c r="C8" s="6" t="s">
        <v>1367</v>
      </c>
    </row>
    <row r="9" spans="1:3" x14ac:dyDescent="0.2">
      <c r="A9" s="5" t="s">
        <v>17</v>
      </c>
      <c r="B9" s="16" t="b">
        <v>1</v>
      </c>
      <c r="C9" s="6" t="s">
        <v>1368</v>
      </c>
    </row>
    <row r="10" spans="1:3" x14ac:dyDescent="0.2">
      <c r="A10" s="5" t="s">
        <v>18</v>
      </c>
      <c r="B10" s="16" t="b">
        <v>0</v>
      </c>
      <c r="C10" s="6" t="s">
        <v>1369</v>
      </c>
    </row>
    <row r="11" spans="1:3" x14ac:dyDescent="0.2">
      <c r="A11" s="5" t="s">
        <v>20</v>
      </c>
      <c r="B11" s="16" t="b">
        <v>1</v>
      </c>
      <c r="C11" s="6" t="s">
        <v>1370</v>
      </c>
    </row>
    <row r="12" spans="1:3" x14ac:dyDescent="0.2">
      <c r="A12" s="5" t="s">
        <v>19</v>
      </c>
      <c r="B12" s="16" t="b">
        <v>1</v>
      </c>
      <c r="C12" s="6" t="s">
        <v>1371</v>
      </c>
    </row>
    <row r="13" spans="1:3" x14ac:dyDescent="0.2">
      <c r="A13" s="5" t="s">
        <v>11</v>
      </c>
      <c r="B13" s="14" t="b">
        <v>1</v>
      </c>
      <c r="C13" s="6" t="s">
        <v>1372</v>
      </c>
    </row>
    <row r="14" spans="1:3" x14ac:dyDescent="0.2">
      <c r="A14" s="5" t="s">
        <v>438</v>
      </c>
      <c r="B14" s="16" t="b">
        <v>1</v>
      </c>
      <c r="C14" s="6" t="s">
        <v>1373</v>
      </c>
    </row>
    <row r="15" spans="1:3" x14ac:dyDescent="0.2">
      <c r="A15" s="5" t="s">
        <v>439</v>
      </c>
      <c r="B15" s="16" t="b">
        <v>0</v>
      </c>
      <c r="C15" s="6" t="s">
        <v>1374</v>
      </c>
    </row>
    <row r="16" spans="1:3" x14ac:dyDescent="0.2">
      <c r="A16" s="5" t="s">
        <v>440</v>
      </c>
      <c r="B16" s="16" t="b">
        <v>0</v>
      </c>
      <c r="C16" s="6" t="s">
        <v>1375</v>
      </c>
    </row>
    <row r="17" spans="1:3" x14ac:dyDescent="0.2">
      <c r="A17" s="5" t="s">
        <v>441</v>
      </c>
      <c r="B17" s="16" t="b">
        <v>0</v>
      </c>
      <c r="C17" s="6" t="s">
        <v>1376</v>
      </c>
    </row>
    <row r="18" spans="1:3" x14ac:dyDescent="0.2">
      <c r="A18" s="5" t="s">
        <v>442</v>
      </c>
      <c r="B18" s="16" t="b">
        <v>1</v>
      </c>
      <c r="C18" s="6" t="s">
        <v>1377</v>
      </c>
    </row>
    <row r="19" spans="1:3" x14ac:dyDescent="0.2">
      <c r="A19" s="5" t="s">
        <v>443</v>
      </c>
      <c r="B19" s="16" t="b">
        <v>1</v>
      </c>
      <c r="C19" s="6" t="s">
        <v>1378</v>
      </c>
    </row>
    <row r="20" spans="1:3" x14ac:dyDescent="0.2">
      <c r="A20" s="5" t="s">
        <v>461</v>
      </c>
      <c r="B20" s="14" t="b">
        <v>0</v>
      </c>
      <c r="C20" s="6" t="s">
        <v>1379</v>
      </c>
    </row>
    <row r="21" spans="1:3" x14ac:dyDescent="0.2">
      <c r="A21" s="5" t="s">
        <v>566</v>
      </c>
      <c r="B21" s="68" t="s">
        <v>567</v>
      </c>
      <c r="C21" s="6" t="s">
        <v>1380</v>
      </c>
    </row>
  </sheetData>
  <dataValidations count="3">
    <dataValidation type="list" allowBlank="1" showInputMessage="1" showErrorMessage="1" sqref="B3" xr:uid="{FDC9369E-DCA6-5840-9B75-A0D9F5F3946C}">
      <formula1>"Hourly, Five-min"</formula1>
    </dataValidation>
    <dataValidation type="list" allowBlank="1" showInputMessage="1" showErrorMessage="1" sqref="B4" xr:uid="{E5B2BBDA-42DA-3D41-AB21-D7968F6A8D1A}">
      <formula1>"regional, system"</formula1>
    </dataValidation>
    <dataValidation type="list" allowBlank="1" showInputMessage="1" showErrorMessage="1" sqref="B5:B20" xr:uid="{9EFB0A27-ABCC-104A-A963-7B486BD70CE2}">
      <formula1>"True, False"</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15D6-671C-4E38-B6EE-27A4DA37B65D}">
  <sheetPr codeName="Sheet9">
    <tabColor theme="7"/>
  </sheetPr>
  <dimension ref="H33:K62"/>
  <sheetViews>
    <sheetView workbookViewId="0">
      <selection activeCell="J68" sqref="J68"/>
    </sheetView>
  </sheetViews>
  <sheetFormatPr baseColWidth="10" defaultColWidth="9.33203125" defaultRowHeight="15" x14ac:dyDescent="0.2"/>
  <cols>
    <col min="1" max="16384" width="9.33203125" style="22"/>
  </cols>
  <sheetData>
    <row r="33" spans="11:11" x14ac:dyDescent="0.2">
      <c r="K33" s="34"/>
    </row>
    <row r="62" spans="8:8" x14ac:dyDescent="0.2">
      <c r="H62"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991CF-12DF-4146-8887-A8C12834870A}">
  <sheetPr codeName="Sheet10">
    <tabColor theme="7" tint="0.79998168889431442"/>
  </sheetPr>
  <dimension ref="A1:K79"/>
  <sheetViews>
    <sheetView zoomScale="133" zoomScaleNormal="85" workbookViewId="0">
      <pane ySplit="2" topLeftCell="A41" activePane="bottomLeft" state="frozen"/>
      <selection pane="bottomLeft" activeCell="A72" sqref="A72"/>
    </sheetView>
  </sheetViews>
  <sheetFormatPr baseColWidth="10" defaultColWidth="9.33203125" defaultRowHeight="15" x14ac:dyDescent="0.2"/>
  <cols>
    <col min="1" max="1" width="18.5" customWidth="1"/>
    <col min="2" max="2" width="22.6640625" customWidth="1"/>
    <col min="3" max="3" width="17.5" customWidth="1"/>
    <col min="4" max="4" width="12.6640625" customWidth="1"/>
    <col min="5" max="5" width="34.33203125" customWidth="1"/>
    <col min="6" max="6" width="42.83203125" customWidth="1"/>
    <col min="7" max="11" width="12.6640625" customWidth="1"/>
  </cols>
  <sheetData>
    <row r="1" spans="1:11" x14ac:dyDescent="0.2">
      <c r="A1" s="125"/>
      <c r="B1" s="125"/>
      <c r="C1" s="125"/>
      <c r="D1" s="125"/>
      <c r="E1" s="125"/>
      <c r="F1" s="125"/>
      <c r="G1" s="125"/>
      <c r="H1" s="125"/>
      <c r="I1" s="125"/>
      <c r="J1" s="125"/>
      <c r="K1" s="125"/>
    </row>
    <row r="2" spans="1:11" ht="17" thickBot="1" x14ac:dyDescent="0.25">
      <c r="A2" s="11" t="s">
        <v>81</v>
      </c>
      <c r="B2" s="11" t="s">
        <v>72</v>
      </c>
      <c r="C2" s="11" t="s">
        <v>73</v>
      </c>
      <c r="D2" s="113" t="s">
        <v>77</v>
      </c>
      <c r="E2" s="11" t="s">
        <v>49</v>
      </c>
      <c r="F2" s="11" t="s">
        <v>50</v>
      </c>
      <c r="G2" s="11" t="s">
        <v>44</v>
      </c>
      <c r="H2" s="11" t="s">
        <v>46</v>
      </c>
      <c r="I2" s="11" t="s">
        <v>51</v>
      </c>
      <c r="J2" s="11" t="s">
        <v>80</v>
      </c>
      <c r="K2" s="44" t="s">
        <v>503</v>
      </c>
    </row>
    <row r="3" spans="1:11" x14ac:dyDescent="0.2">
      <c r="A3" s="166" t="s">
        <v>1241</v>
      </c>
      <c r="B3" s="167" t="s">
        <v>1242</v>
      </c>
      <c r="C3" s="167" t="s">
        <v>122</v>
      </c>
      <c r="D3" s="168" t="s">
        <v>22</v>
      </c>
      <c r="E3" s="19" t="s">
        <v>282</v>
      </c>
      <c r="F3" s="19" t="s">
        <v>522</v>
      </c>
      <c r="G3" s="19" t="s">
        <v>45</v>
      </c>
      <c r="H3" s="19">
        <v>30</v>
      </c>
      <c r="I3" s="19" t="s">
        <v>48</v>
      </c>
      <c r="J3" s="19">
        <v>2024</v>
      </c>
      <c r="K3" s="183">
        <v>1</v>
      </c>
    </row>
    <row r="4" spans="1:11" x14ac:dyDescent="0.2">
      <c r="A4" s="166" t="s">
        <v>1241</v>
      </c>
      <c r="B4" s="167" t="s">
        <v>1243</v>
      </c>
      <c r="C4" s="167" t="s">
        <v>122</v>
      </c>
      <c r="D4" s="168" t="s">
        <v>22</v>
      </c>
      <c r="E4" s="19" t="s">
        <v>282</v>
      </c>
      <c r="F4" s="19" t="s">
        <v>534</v>
      </c>
      <c r="G4" s="19" t="s">
        <v>45</v>
      </c>
      <c r="H4" s="19">
        <v>30</v>
      </c>
      <c r="I4" s="19" t="s">
        <v>48</v>
      </c>
      <c r="J4" s="19">
        <v>2024</v>
      </c>
      <c r="K4" s="183">
        <v>1</v>
      </c>
    </row>
    <row r="5" spans="1:11" x14ac:dyDescent="0.2">
      <c r="A5" s="166" t="s">
        <v>1241</v>
      </c>
      <c r="B5" s="167" t="s">
        <v>1244</v>
      </c>
      <c r="C5" s="167" t="s">
        <v>122</v>
      </c>
      <c r="D5" s="168" t="s">
        <v>22</v>
      </c>
      <c r="E5" s="19" t="s">
        <v>282</v>
      </c>
      <c r="F5" s="19" t="s">
        <v>542</v>
      </c>
      <c r="G5" s="19" t="s">
        <v>45</v>
      </c>
      <c r="H5" s="19">
        <v>30</v>
      </c>
      <c r="I5" s="19" t="s">
        <v>48</v>
      </c>
      <c r="J5" s="19">
        <v>2024</v>
      </c>
      <c r="K5" s="183">
        <v>1</v>
      </c>
    </row>
    <row r="6" spans="1:11" x14ac:dyDescent="0.2">
      <c r="A6" s="166" t="s">
        <v>1241</v>
      </c>
      <c r="B6" s="167" t="s">
        <v>1245</v>
      </c>
      <c r="C6" s="167" t="s">
        <v>76</v>
      </c>
      <c r="D6" s="168" t="s">
        <v>25</v>
      </c>
      <c r="E6" s="19" t="s">
        <v>25</v>
      </c>
      <c r="F6" s="19" t="s">
        <v>524</v>
      </c>
      <c r="G6" s="19" t="s">
        <v>45</v>
      </c>
      <c r="H6" s="19">
        <v>30</v>
      </c>
      <c r="I6" s="19" t="s">
        <v>48</v>
      </c>
      <c r="J6" s="19">
        <v>2024</v>
      </c>
      <c r="K6" s="183">
        <v>1</v>
      </c>
    </row>
    <row r="7" spans="1:11" x14ac:dyDescent="0.2">
      <c r="A7" s="166" t="s">
        <v>1241</v>
      </c>
      <c r="B7" s="167" t="s">
        <v>1246</v>
      </c>
      <c r="C7" s="167" t="s">
        <v>125</v>
      </c>
      <c r="D7" s="168" t="s">
        <v>26</v>
      </c>
      <c r="E7" s="19" t="s">
        <v>286</v>
      </c>
      <c r="F7" s="19" t="s">
        <v>305</v>
      </c>
      <c r="G7" s="19" t="s">
        <v>45</v>
      </c>
      <c r="H7" s="19">
        <v>30</v>
      </c>
      <c r="I7" s="19" t="s">
        <v>48</v>
      </c>
      <c r="J7" s="19">
        <v>2024</v>
      </c>
      <c r="K7" s="183">
        <v>1</v>
      </c>
    </row>
    <row r="8" spans="1:11" x14ac:dyDescent="0.2">
      <c r="A8" s="166" t="s">
        <v>1241</v>
      </c>
      <c r="B8" s="167" t="s">
        <v>1247</v>
      </c>
      <c r="C8" s="167" t="s">
        <v>125</v>
      </c>
      <c r="D8" s="168" t="s">
        <v>27</v>
      </c>
      <c r="E8" s="19" t="s">
        <v>279</v>
      </c>
      <c r="F8" s="19" t="s">
        <v>305</v>
      </c>
      <c r="G8" s="19" t="s">
        <v>45</v>
      </c>
      <c r="H8" s="19">
        <v>30</v>
      </c>
      <c r="I8" s="19" t="s">
        <v>48</v>
      </c>
      <c r="J8" s="19">
        <v>2024</v>
      </c>
      <c r="K8" s="183">
        <v>1</v>
      </c>
    </row>
    <row r="9" spans="1:11" x14ac:dyDescent="0.2">
      <c r="A9" s="166" t="s">
        <v>1241</v>
      </c>
      <c r="B9" s="167" t="s">
        <v>1248</v>
      </c>
      <c r="C9" s="167" t="s">
        <v>125</v>
      </c>
      <c r="D9" s="168" t="s">
        <v>27</v>
      </c>
      <c r="E9" s="19" t="s">
        <v>283</v>
      </c>
      <c r="F9" s="19" t="s">
        <v>306</v>
      </c>
      <c r="G9" s="19" t="s">
        <v>45</v>
      </c>
      <c r="H9" s="19">
        <v>30</v>
      </c>
      <c r="I9" s="19" t="s">
        <v>48</v>
      </c>
      <c r="J9" s="19">
        <v>2024</v>
      </c>
      <c r="K9" s="183">
        <v>1</v>
      </c>
    </row>
    <row r="10" spans="1:11" x14ac:dyDescent="0.2">
      <c r="A10" s="166" t="s">
        <v>1241</v>
      </c>
      <c r="B10" s="171" t="s">
        <v>1258</v>
      </c>
      <c r="C10" s="171" t="s">
        <v>75</v>
      </c>
      <c r="D10" s="172" t="s">
        <v>28</v>
      </c>
      <c r="E10" s="184" t="s">
        <v>275</v>
      </c>
      <c r="F10" s="19" t="s">
        <v>56</v>
      </c>
      <c r="G10" s="19" t="s">
        <v>45</v>
      </c>
      <c r="H10" s="19">
        <v>30</v>
      </c>
      <c r="I10" s="19" t="s">
        <v>48</v>
      </c>
      <c r="J10" s="19">
        <v>2024</v>
      </c>
      <c r="K10" s="183">
        <v>1</v>
      </c>
    </row>
    <row r="11" spans="1:11" x14ac:dyDescent="0.2">
      <c r="A11" s="166" t="s">
        <v>1241</v>
      </c>
      <c r="B11" s="171" t="s">
        <v>1259</v>
      </c>
      <c r="C11" s="171" t="s">
        <v>75</v>
      </c>
      <c r="D11" s="172" t="s">
        <v>28</v>
      </c>
      <c r="E11" s="184" t="s">
        <v>275</v>
      </c>
      <c r="F11" s="19" t="s">
        <v>47</v>
      </c>
      <c r="G11" s="19" t="s">
        <v>45</v>
      </c>
      <c r="H11" s="19">
        <v>30</v>
      </c>
      <c r="I11" s="19" t="s">
        <v>48</v>
      </c>
      <c r="J11" s="19">
        <v>2024</v>
      </c>
      <c r="K11" s="183">
        <v>1</v>
      </c>
    </row>
    <row r="12" spans="1:11" x14ac:dyDescent="0.2">
      <c r="A12" s="166" t="s">
        <v>1241</v>
      </c>
      <c r="B12" s="171" t="s">
        <v>1260</v>
      </c>
      <c r="C12" s="171" t="s">
        <v>75</v>
      </c>
      <c r="D12" s="172" t="s">
        <v>28</v>
      </c>
      <c r="E12" s="184" t="s">
        <v>275</v>
      </c>
      <c r="F12" s="19" t="s">
        <v>291</v>
      </c>
      <c r="G12" s="19" t="s">
        <v>45</v>
      </c>
      <c r="H12" s="19">
        <v>30</v>
      </c>
      <c r="I12" s="19" t="s">
        <v>48</v>
      </c>
      <c r="J12" s="19">
        <v>2024</v>
      </c>
      <c r="K12" s="183">
        <v>1</v>
      </c>
    </row>
    <row r="13" spans="1:11" ht="16" thickBot="1" x14ac:dyDescent="0.25">
      <c r="A13" s="173" t="s">
        <v>1241</v>
      </c>
      <c r="B13" s="174" t="s">
        <v>1261</v>
      </c>
      <c r="C13" s="174" t="s">
        <v>75</v>
      </c>
      <c r="D13" s="175" t="s">
        <v>28</v>
      </c>
      <c r="E13" s="185" t="s">
        <v>275</v>
      </c>
      <c r="F13" s="185" t="s">
        <v>364</v>
      </c>
      <c r="G13" s="185" t="s">
        <v>45</v>
      </c>
      <c r="H13" s="185">
        <v>30</v>
      </c>
      <c r="I13" s="185" t="s">
        <v>48</v>
      </c>
      <c r="J13" s="185">
        <v>2024</v>
      </c>
      <c r="K13" s="186">
        <v>1</v>
      </c>
    </row>
    <row r="14" spans="1:11" x14ac:dyDescent="0.2">
      <c r="A14" s="178" t="s">
        <v>1282</v>
      </c>
      <c r="B14" s="167" t="s">
        <v>1242</v>
      </c>
      <c r="C14" s="167" t="s">
        <v>122</v>
      </c>
      <c r="D14" s="168" t="s">
        <v>22</v>
      </c>
      <c r="E14" s="19" t="s">
        <v>282</v>
      </c>
      <c r="F14" s="19" t="s">
        <v>522</v>
      </c>
      <c r="G14" s="19" t="s">
        <v>45</v>
      </c>
      <c r="H14" s="19">
        <v>30</v>
      </c>
      <c r="I14" s="169" t="s">
        <v>57</v>
      </c>
      <c r="J14" s="169">
        <v>2024</v>
      </c>
      <c r="K14" s="170">
        <v>1</v>
      </c>
    </row>
    <row r="15" spans="1:11" x14ac:dyDescent="0.2">
      <c r="A15" s="178" t="s">
        <v>1282</v>
      </c>
      <c r="B15" s="167" t="s">
        <v>1243</v>
      </c>
      <c r="C15" s="167" t="s">
        <v>122</v>
      </c>
      <c r="D15" s="168" t="s">
        <v>22</v>
      </c>
      <c r="E15" s="19" t="s">
        <v>282</v>
      </c>
      <c r="F15" s="19" t="s">
        <v>534</v>
      </c>
      <c r="G15" s="19" t="s">
        <v>45</v>
      </c>
      <c r="H15" s="19">
        <v>30</v>
      </c>
      <c r="I15" s="169" t="s">
        <v>57</v>
      </c>
      <c r="J15" s="169">
        <v>2024</v>
      </c>
      <c r="K15" s="170">
        <v>1</v>
      </c>
    </row>
    <row r="16" spans="1:11" x14ac:dyDescent="0.2">
      <c r="A16" s="178" t="s">
        <v>1282</v>
      </c>
      <c r="B16" s="167" t="s">
        <v>1244</v>
      </c>
      <c r="C16" s="167" t="s">
        <v>122</v>
      </c>
      <c r="D16" s="168" t="s">
        <v>22</v>
      </c>
      <c r="E16" s="19" t="s">
        <v>282</v>
      </c>
      <c r="F16" s="19" t="s">
        <v>542</v>
      </c>
      <c r="G16" s="19" t="s">
        <v>45</v>
      </c>
      <c r="H16" s="19">
        <v>30</v>
      </c>
      <c r="I16" s="169" t="s">
        <v>57</v>
      </c>
      <c r="J16" s="169">
        <v>2024</v>
      </c>
      <c r="K16" s="170">
        <v>1</v>
      </c>
    </row>
    <row r="17" spans="1:11" x14ac:dyDescent="0.2">
      <c r="A17" s="178" t="s">
        <v>1282</v>
      </c>
      <c r="B17" s="167" t="s">
        <v>1245</v>
      </c>
      <c r="C17" s="167" t="s">
        <v>76</v>
      </c>
      <c r="D17" s="168" t="s">
        <v>25</v>
      </c>
      <c r="E17" s="19" t="s">
        <v>25</v>
      </c>
      <c r="F17" s="19" t="s">
        <v>524</v>
      </c>
      <c r="G17" s="19" t="s">
        <v>45</v>
      </c>
      <c r="H17" s="19">
        <v>30</v>
      </c>
      <c r="I17" s="169" t="s">
        <v>48</v>
      </c>
      <c r="J17" s="169">
        <v>2024</v>
      </c>
      <c r="K17" s="170">
        <v>1</v>
      </c>
    </row>
    <row r="18" spans="1:11" x14ac:dyDescent="0.2">
      <c r="A18" s="178" t="s">
        <v>1282</v>
      </c>
      <c r="B18" s="167" t="s">
        <v>1246</v>
      </c>
      <c r="C18" s="167" t="s">
        <v>125</v>
      </c>
      <c r="D18" s="168" t="s">
        <v>26</v>
      </c>
      <c r="E18" s="19" t="s">
        <v>286</v>
      </c>
      <c r="F18" s="19" t="s">
        <v>305</v>
      </c>
      <c r="G18" s="19" t="s">
        <v>45</v>
      </c>
      <c r="H18" s="19">
        <v>30</v>
      </c>
      <c r="I18" s="169" t="s">
        <v>48</v>
      </c>
      <c r="J18" s="169">
        <v>2024</v>
      </c>
      <c r="K18" s="170">
        <v>1</v>
      </c>
    </row>
    <row r="19" spans="1:11" x14ac:dyDescent="0.2">
      <c r="A19" s="178" t="s">
        <v>1282</v>
      </c>
      <c r="B19" s="167" t="s">
        <v>1247</v>
      </c>
      <c r="C19" s="167" t="s">
        <v>125</v>
      </c>
      <c r="D19" s="168" t="s">
        <v>27</v>
      </c>
      <c r="E19" s="19" t="s">
        <v>279</v>
      </c>
      <c r="F19" s="19" t="s">
        <v>305</v>
      </c>
      <c r="G19" s="19" t="s">
        <v>45</v>
      </c>
      <c r="H19" s="19">
        <v>30</v>
      </c>
      <c r="I19" s="169" t="s">
        <v>48</v>
      </c>
      <c r="J19" s="169">
        <v>2024</v>
      </c>
      <c r="K19" s="170">
        <v>1</v>
      </c>
    </row>
    <row r="20" spans="1:11" x14ac:dyDescent="0.2">
      <c r="A20" s="178" t="s">
        <v>1282</v>
      </c>
      <c r="B20" s="167" t="s">
        <v>1248</v>
      </c>
      <c r="C20" s="167" t="s">
        <v>125</v>
      </c>
      <c r="D20" s="168" t="s">
        <v>27</v>
      </c>
      <c r="E20" s="19" t="s">
        <v>283</v>
      </c>
      <c r="F20" s="19" t="s">
        <v>306</v>
      </c>
      <c r="G20" s="19" t="s">
        <v>45</v>
      </c>
      <c r="H20" s="19">
        <v>30</v>
      </c>
      <c r="I20" s="169" t="s">
        <v>48</v>
      </c>
      <c r="J20" s="169">
        <v>2024</v>
      </c>
      <c r="K20" s="170">
        <v>1</v>
      </c>
    </row>
    <row r="21" spans="1:11" x14ac:dyDescent="0.2">
      <c r="A21" s="178" t="s">
        <v>1282</v>
      </c>
      <c r="B21" s="171" t="s">
        <v>1258</v>
      </c>
      <c r="C21" s="171" t="s">
        <v>75</v>
      </c>
      <c r="D21" s="172" t="s">
        <v>28</v>
      </c>
      <c r="E21" s="184" t="s">
        <v>275</v>
      </c>
      <c r="F21" s="19" t="s">
        <v>56</v>
      </c>
      <c r="G21" s="19" t="s">
        <v>45</v>
      </c>
      <c r="H21" s="19">
        <v>30</v>
      </c>
      <c r="I21" s="169" t="s">
        <v>48</v>
      </c>
      <c r="J21" s="169">
        <v>2024</v>
      </c>
      <c r="K21" s="170">
        <v>1</v>
      </c>
    </row>
    <row r="22" spans="1:11" x14ac:dyDescent="0.2">
      <c r="A22" s="178" t="s">
        <v>1282</v>
      </c>
      <c r="B22" s="171" t="s">
        <v>1259</v>
      </c>
      <c r="C22" s="171" t="s">
        <v>75</v>
      </c>
      <c r="D22" s="172" t="s">
        <v>28</v>
      </c>
      <c r="E22" s="184" t="s">
        <v>275</v>
      </c>
      <c r="F22" s="19" t="s">
        <v>47</v>
      </c>
      <c r="G22" s="19" t="s">
        <v>45</v>
      </c>
      <c r="H22" s="19">
        <v>30</v>
      </c>
      <c r="I22" s="169" t="s">
        <v>48</v>
      </c>
      <c r="J22" s="169">
        <v>2024</v>
      </c>
      <c r="K22" s="170">
        <v>1</v>
      </c>
    </row>
    <row r="23" spans="1:11" x14ac:dyDescent="0.2">
      <c r="A23" s="178" t="s">
        <v>1282</v>
      </c>
      <c r="B23" s="171" t="s">
        <v>1260</v>
      </c>
      <c r="C23" s="171" t="s">
        <v>75</v>
      </c>
      <c r="D23" s="172" t="s">
        <v>28</v>
      </c>
      <c r="E23" s="184" t="s">
        <v>275</v>
      </c>
      <c r="F23" s="19" t="s">
        <v>291</v>
      </c>
      <c r="G23" s="19" t="s">
        <v>45</v>
      </c>
      <c r="H23" s="19">
        <v>30</v>
      </c>
      <c r="I23" s="169" t="s">
        <v>48</v>
      </c>
      <c r="J23" s="169">
        <v>2024</v>
      </c>
      <c r="K23" s="170">
        <v>1</v>
      </c>
    </row>
    <row r="24" spans="1:11" ht="16" thickBot="1" x14ac:dyDescent="0.25">
      <c r="A24" s="179" t="s">
        <v>1282</v>
      </c>
      <c r="B24" s="174" t="s">
        <v>1261</v>
      </c>
      <c r="C24" s="174" t="s">
        <v>75</v>
      </c>
      <c r="D24" s="175" t="s">
        <v>28</v>
      </c>
      <c r="E24" s="185" t="s">
        <v>275</v>
      </c>
      <c r="F24" s="185" t="s">
        <v>364</v>
      </c>
      <c r="G24" s="185" t="s">
        <v>45</v>
      </c>
      <c r="H24" s="185">
        <v>30</v>
      </c>
      <c r="I24" s="176" t="s">
        <v>48</v>
      </c>
      <c r="J24" s="176">
        <v>2024</v>
      </c>
      <c r="K24" s="177">
        <v>1</v>
      </c>
    </row>
    <row r="25" spans="1:11" x14ac:dyDescent="0.2">
      <c r="A25" s="180" t="s">
        <v>1283</v>
      </c>
      <c r="B25" s="167" t="s">
        <v>1242</v>
      </c>
      <c r="C25" s="167" t="s">
        <v>122</v>
      </c>
      <c r="D25" s="168" t="s">
        <v>22</v>
      </c>
      <c r="E25" s="19" t="s">
        <v>282</v>
      </c>
      <c r="F25" s="19" t="s">
        <v>522</v>
      </c>
      <c r="G25" s="19" t="s">
        <v>45</v>
      </c>
      <c r="H25" s="19">
        <v>30</v>
      </c>
      <c r="I25" s="169" t="s">
        <v>52</v>
      </c>
      <c r="J25" s="169">
        <v>2024</v>
      </c>
      <c r="K25" s="170">
        <v>1</v>
      </c>
    </row>
    <row r="26" spans="1:11" x14ac:dyDescent="0.2">
      <c r="A26" s="180" t="s">
        <v>1283</v>
      </c>
      <c r="B26" s="167" t="s">
        <v>1243</v>
      </c>
      <c r="C26" s="167" t="s">
        <v>122</v>
      </c>
      <c r="D26" s="168" t="s">
        <v>22</v>
      </c>
      <c r="E26" s="19" t="s">
        <v>282</v>
      </c>
      <c r="F26" s="19" t="s">
        <v>534</v>
      </c>
      <c r="G26" s="19" t="s">
        <v>45</v>
      </c>
      <c r="H26" s="19">
        <v>30</v>
      </c>
      <c r="I26" s="169" t="s">
        <v>52</v>
      </c>
      <c r="J26" s="169">
        <v>2024</v>
      </c>
      <c r="K26" s="170">
        <v>1</v>
      </c>
    </row>
    <row r="27" spans="1:11" x14ac:dyDescent="0.2">
      <c r="A27" s="180" t="s">
        <v>1283</v>
      </c>
      <c r="B27" s="167" t="s">
        <v>1244</v>
      </c>
      <c r="C27" s="167" t="s">
        <v>122</v>
      </c>
      <c r="D27" s="168" t="s">
        <v>22</v>
      </c>
      <c r="E27" s="19" t="s">
        <v>282</v>
      </c>
      <c r="F27" s="19" t="s">
        <v>542</v>
      </c>
      <c r="G27" s="19" t="s">
        <v>45</v>
      </c>
      <c r="H27" s="19">
        <v>30</v>
      </c>
      <c r="I27" s="169" t="s">
        <v>52</v>
      </c>
      <c r="J27" s="169">
        <v>2024</v>
      </c>
      <c r="K27" s="170">
        <v>1</v>
      </c>
    </row>
    <row r="28" spans="1:11" x14ac:dyDescent="0.2">
      <c r="A28" s="180" t="s">
        <v>1283</v>
      </c>
      <c r="B28" s="167" t="s">
        <v>1245</v>
      </c>
      <c r="C28" s="167" t="s">
        <v>76</v>
      </c>
      <c r="D28" s="168" t="s">
        <v>25</v>
      </c>
      <c r="E28" s="19" t="s">
        <v>25</v>
      </c>
      <c r="F28" s="19" t="s">
        <v>524</v>
      </c>
      <c r="G28" s="19" t="s">
        <v>45</v>
      </c>
      <c r="H28" s="19">
        <v>30</v>
      </c>
      <c r="I28" s="169" t="s">
        <v>48</v>
      </c>
      <c r="J28" s="169">
        <v>2024</v>
      </c>
      <c r="K28" s="170">
        <v>1</v>
      </c>
    </row>
    <row r="29" spans="1:11" x14ac:dyDescent="0.2">
      <c r="A29" s="180" t="s">
        <v>1283</v>
      </c>
      <c r="B29" s="167" t="s">
        <v>1246</v>
      </c>
      <c r="C29" s="167" t="s">
        <v>125</v>
      </c>
      <c r="D29" s="168" t="s">
        <v>26</v>
      </c>
      <c r="E29" s="19" t="s">
        <v>286</v>
      </c>
      <c r="F29" s="19" t="s">
        <v>305</v>
      </c>
      <c r="G29" s="19" t="s">
        <v>45</v>
      </c>
      <c r="H29" s="19">
        <v>30</v>
      </c>
      <c r="I29" s="169" t="s">
        <v>48</v>
      </c>
      <c r="J29" s="169">
        <v>2024</v>
      </c>
      <c r="K29" s="170">
        <v>1</v>
      </c>
    </row>
    <row r="30" spans="1:11" x14ac:dyDescent="0.2">
      <c r="A30" s="180" t="s">
        <v>1283</v>
      </c>
      <c r="B30" s="167" t="s">
        <v>1247</v>
      </c>
      <c r="C30" s="167" t="s">
        <v>125</v>
      </c>
      <c r="D30" s="168" t="s">
        <v>27</v>
      </c>
      <c r="E30" s="19" t="s">
        <v>279</v>
      </c>
      <c r="F30" s="19" t="s">
        <v>305</v>
      </c>
      <c r="G30" s="19" t="s">
        <v>45</v>
      </c>
      <c r="H30" s="19">
        <v>30</v>
      </c>
      <c r="I30" s="169" t="s">
        <v>48</v>
      </c>
      <c r="J30" s="169">
        <v>2024</v>
      </c>
      <c r="K30" s="170">
        <v>1</v>
      </c>
    </row>
    <row r="31" spans="1:11" x14ac:dyDescent="0.2">
      <c r="A31" s="180" t="s">
        <v>1283</v>
      </c>
      <c r="B31" s="167" t="s">
        <v>1248</v>
      </c>
      <c r="C31" s="167" t="s">
        <v>125</v>
      </c>
      <c r="D31" s="168" t="s">
        <v>27</v>
      </c>
      <c r="E31" s="19" t="s">
        <v>283</v>
      </c>
      <c r="F31" s="19" t="s">
        <v>306</v>
      </c>
      <c r="G31" s="19" t="s">
        <v>45</v>
      </c>
      <c r="H31" s="19">
        <v>30</v>
      </c>
      <c r="I31" s="169" t="s">
        <v>48</v>
      </c>
      <c r="J31" s="169">
        <v>2024</v>
      </c>
      <c r="K31" s="170">
        <v>1</v>
      </c>
    </row>
    <row r="32" spans="1:11" x14ac:dyDescent="0.2">
      <c r="A32" s="180" t="s">
        <v>1283</v>
      </c>
      <c r="B32" s="171" t="s">
        <v>1258</v>
      </c>
      <c r="C32" s="171" t="s">
        <v>75</v>
      </c>
      <c r="D32" s="172" t="s">
        <v>28</v>
      </c>
      <c r="E32" s="184" t="s">
        <v>275</v>
      </c>
      <c r="F32" s="19" t="s">
        <v>56</v>
      </c>
      <c r="G32" s="19" t="s">
        <v>45</v>
      </c>
      <c r="H32" s="19">
        <v>30</v>
      </c>
      <c r="I32" s="169" t="s">
        <v>48</v>
      </c>
      <c r="J32" s="169">
        <v>2024</v>
      </c>
      <c r="K32" s="170">
        <v>1</v>
      </c>
    </row>
    <row r="33" spans="1:11" x14ac:dyDescent="0.2">
      <c r="A33" s="180" t="s">
        <v>1283</v>
      </c>
      <c r="B33" s="171" t="s">
        <v>1259</v>
      </c>
      <c r="C33" s="171" t="s">
        <v>75</v>
      </c>
      <c r="D33" s="172" t="s">
        <v>28</v>
      </c>
      <c r="E33" s="184" t="s">
        <v>275</v>
      </c>
      <c r="F33" s="19" t="s">
        <v>47</v>
      </c>
      <c r="G33" s="19" t="s">
        <v>45</v>
      </c>
      <c r="H33" s="19">
        <v>30</v>
      </c>
      <c r="I33" s="169" t="s">
        <v>48</v>
      </c>
      <c r="J33" s="169">
        <v>2024</v>
      </c>
      <c r="K33" s="170">
        <v>1</v>
      </c>
    </row>
    <row r="34" spans="1:11" x14ac:dyDescent="0.2">
      <c r="A34" s="180" t="s">
        <v>1283</v>
      </c>
      <c r="B34" s="171" t="s">
        <v>1260</v>
      </c>
      <c r="C34" s="171" t="s">
        <v>75</v>
      </c>
      <c r="D34" s="172" t="s">
        <v>28</v>
      </c>
      <c r="E34" s="184" t="s">
        <v>275</v>
      </c>
      <c r="F34" s="19" t="s">
        <v>291</v>
      </c>
      <c r="G34" s="19" t="s">
        <v>45</v>
      </c>
      <c r="H34" s="19">
        <v>30</v>
      </c>
      <c r="I34" s="169" t="s">
        <v>48</v>
      </c>
      <c r="J34" s="169">
        <v>2024</v>
      </c>
      <c r="K34" s="170">
        <v>1</v>
      </c>
    </row>
    <row r="35" spans="1:11" ht="16" thickBot="1" x14ac:dyDescent="0.25">
      <c r="A35" s="181" t="s">
        <v>1283</v>
      </c>
      <c r="B35" s="174" t="s">
        <v>1261</v>
      </c>
      <c r="C35" s="174" t="s">
        <v>75</v>
      </c>
      <c r="D35" s="175" t="s">
        <v>28</v>
      </c>
      <c r="E35" s="185" t="s">
        <v>275</v>
      </c>
      <c r="F35" s="185" t="s">
        <v>364</v>
      </c>
      <c r="G35" s="185" t="s">
        <v>45</v>
      </c>
      <c r="H35" s="185">
        <v>30</v>
      </c>
      <c r="I35" s="176" t="s">
        <v>48</v>
      </c>
      <c r="J35" s="176">
        <v>2024</v>
      </c>
      <c r="K35" s="177">
        <v>1</v>
      </c>
    </row>
    <row r="36" spans="1:11" x14ac:dyDescent="0.2">
      <c r="A36" s="180" t="s">
        <v>1284</v>
      </c>
      <c r="B36" s="167" t="s">
        <v>1242</v>
      </c>
      <c r="C36" s="167" t="s">
        <v>122</v>
      </c>
      <c r="D36" s="168" t="s">
        <v>22</v>
      </c>
      <c r="E36" s="19" t="s">
        <v>282</v>
      </c>
      <c r="F36" s="19" t="s">
        <v>522</v>
      </c>
      <c r="G36" s="19" t="s">
        <v>45</v>
      </c>
      <c r="H36" s="19">
        <v>30</v>
      </c>
      <c r="I36" s="169" t="s">
        <v>52</v>
      </c>
      <c r="J36" s="169">
        <v>2024</v>
      </c>
      <c r="K36" s="170">
        <v>1</v>
      </c>
    </row>
    <row r="37" spans="1:11" x14ac:dyDescent="0.2">
      <c r="A37" s="180" t="s">
        <v>1284</v>
      </c>
      <c r="B37" s="167" t="s">
        <v>1243</v>
      </c>
      <c r="C37" s="167" t="s">
        <v>122</v>
      </c>
      <c r="D37" s="168" t="s">
        <v>22</v>
      </c>
      <c r="E37" s="19" t="s">
        <v>282</v>
      </c>
      <c r="F37" s="19" t="s">
        <v>534</v>
      </c>
      <c r="G37" s="19" t="s">
        <v>45</v>
      </c>
      <c r="H37" s="19">
        <v>30</v>
      </c>
      <c r="I37" s="169" t="s">
        <v>52</v>
      </c>
      <c r="J37" s="169">
        <v>2024</v>
      </c>
      <c r="K37" s="170">
        <v>1</v>
      </c>
    </row>
    <row r="38" spans="1:11" x14ac:dyDescent="0.2">
      <c r="A38" s="180" t="s">
        <v>1284</v>
      </c>
      <c r="B38" s="167" t="s">
        <v>1244</v>
      </c>
      <c r="C38" s="167" t="s">
        <v>122</v>
      </c>
      <c r="D38" s="168" t="s">
        <v>22</v>
      </c>
      <c r="E38" s="19" t="s">
        <v>282</v>
      </c>
      <c r="F38" s="19" t="s">
        <v>542</v>
      </c>
      <c r="G38" s="19" t="s">
        <v>45</v>
      </c>
      <c r="H38" s="19">
        <v>30</v>
      </c>
      <c r="I38" s="169" t="s">
        <v>52</v>
      </c>
      <c r="J38" s="169">
        <v>2024</v>
      </c>
      <c r="K38" s="170">
        <v>1</v>
      </c>
    </row>
    <row r="39" spans="1:11" x14ac:dyDescent="0.2">
      <c r="A39" s="180" t="s">
        <v>1284</v>
      </c>
      <c r="B39" s="167" t="s">
        <v>1245</v>
      </c>
      <c r="C39" s="167" t="s">
        <v>76</v>
      </c>
      <c r="D39" s="168" t="s">
        <v>25</v>
      </c>
      <c r="E39" s="19" t="s">
        <v>25</v>
      </c>
      <c r="F39" s="19" t="s">
        <v>524</v>
      </c>
      <c r="G39" s="19" t="s">
        <v>45</v>
      </c>
      <c r="H39" s="19">
        <v>30</v>
      </c>
      <c r="I39" s="169" t="s">
        <v>48</v>
      </c>
      <c r="J39" s="169">
        <v>2024</v>
      </c>
      <c r="K39" s="170">
        <v>1</v>
      </c>
    </row>
    <row r="40" spans="1:11" x14ac:dyDescent="0.2">
      <c r="A40" s="180" t="s">
        <v>1284</v>
      </c>
      <c r="B40" s="167" t="s">
        <v>1246</v>
      </c>
      <c r="C40" s="167" t="s">
        <v>125</v>
      </c>
      <c r="D40" s="168" t="s">
        <v>26</v>
      </c>
      <c r="E40" s="19" t="s">
        <v>286</v>
      </c>
      <c r="F40" s="19" t="s">
        <v>305</v>
      </c>
      <c r="G40" s="19" t="s">
        <v>45</v>
      </c>
      <c r="H40" s="19">
        <v>30</v>
      </c>
      <c r="I40" s="169" t="s">
        <v>57</v>
      </c>
      <c r="J40" s="169">
        <v>2024</v>
      </c>
      <c r="K40" s="170">
        <v>1</v>
      </c>
    </row>
    <row r="41" spans="1:11" x14ac:dyDescent="0.2">
      <c r="A41" s="180" t="s">
        <v>1284</v>
      </c>
      <c r="B41" s="167" t="s">
        <v>1247</v>
      </c>
      <c r="C41" s="167" t="s">
        <v>125</v>
      </c>
      <c r="D41" s="168" t="s">
        <v>27</v>
      </c>
      <c r="E41" s="19" t="s">
        <v>279</v>
      </c>
      <c r="F41" s="19" t="s">
        <v>305</v>
      </c>
      <c r="G41" s="19" t="s">
        <v>45</v>
      </c>
      <c r="H41" s="19">
        <v>30</v>
      </c>
      <c r="I41" s="169" t="s">
        <v>57</v>
      </c>
      <c r="J41" s="169">
        <v>2024</v>
      </c>
      <c r="K41" s="170">
        <v>1</v>
      </c>
    </row>
    <row r="42" spans="1:11" x14ac:dyDescent="0.2">
      <c r="A42" s="180" t="s">
        <v>1284</v>
      </c>
      <c r="B42" s="167" t="s">
        <v>1248</v>
      </c>
      <c r="C42" s="167" t="s">
        <v>125</v>
      </c>
      <c r="D42" s="168" t="s">
        <v>27</v>
      </c>
      <c r="E42" s="19" t="s">
        <v>283</v>
      </c>
      <c r="F42" s="19" t="s">
        <v>306</v>
      </c>
      <c r="G42" s="19" t="s">
        <v>45</v>
      </c>
      <c r="H42" s="19">
        <v>30</v>
      </c>
      <c r="I42" s="169" t="s">
        <v>57</v>
      </c>
      <c r="J42" s="169">
        <v>2024</v>
      </c>
      <c r="K42" s="170">
        <v>1</v>
      </c>
    </row>
    <row r="43" spans="1:11" x14ac:dyDescent="0.2">
      <c r="A43" s="180" t="s">
        <v>1284</v>
      </c>
      <c r="B43" s="171" t="s">
        <v>1258</v>
      </c>
      <c r="C43" s="171" t="s">
        <v>75</v>
      </c>
      <c r="D43" s="172" t="s">
        <v>28</v>
      </c>
      <c r="E43" s="184" t="s">
        <v>275</v>
      </c>
      <c r="F43" s="19" t="s">
        <v>56</v>
      </c>
      <c r="G43" s="19" t="s">
        <v>45</v>
      </c>
      <c r="H43" s="19">
        <v>30</v>
      </c>
      <c r="I43" s="169" t="s">
        <v>48</v>
      </c>
      <c r="J43" s="169">
        <v>2024</v>
      </c>
      <c r="K43" s="170">
        <v>1</v>
      </c>
    </row>
    <row r="44" spans="1:11" x14ac:dyDescent="0.2">
      <c r="A44" s="180" t="s">
        <v>1284</v>
      </c>
      <c r="B44" s="171" t="s">
        <v>1259</v>
      </c>
      <c r="C44" s="171" t="s">
        <v>75</v>
      </c>
      <c r="D44" s="172" t="s">
        <v>28</v>
      </c>
      <c r="E44" s="184" t="s">
        <v>275</v>
      </c>
      <c r="F44" s="19" t="s">
        <v>47</v>
      </c>
      <c r="G44" s="19" t="s">
        <v>45</v>
      </c>
      <c r="H44" s="19">
        <v>30</v>
      </c>
      <c r="I44" s="169" t="s">
        <v>48</v>
      </c>
      <c r="J44" s="169">
        <v>2024</v>
      </c>
      <c r="K44" s="170">
        <v>1</v>
      </c>
    </row>
    <row r="45" spans="1:11" x14ac:dyDescent="0.2">
      <c r="A45" s="180" t="s">
        <v>1284</v>
      </c>
      <c r="B45" s="171" t="s">
        <v>1260</v>
      </c>
      <c r="C45" s="171" t="s">
        <v>75</v>
      </c>
      <c r="D45" s="172" t="s">
        <v>28</v>
      </c>
      <c r="E45" s="184" t="s">
        <v>275</v>
      </c>
      <c r="F45" s="19" t="s">
        <v>291</v>
      </c>
      <c r="G45" s="19" t="s">
        <v>45</v>
      </c>
      <c r="H45" s="19">
        <v>30</v>
      </c>
      <c r="I45" s="169" t="s">
        <v>48</v>
      </c>
      <c r="J45" s="169">
        <v>2024</v>
      </c>
      <c r="K45" s="170">
        <v>1</v>
      </c>
    </row>
    <row r="46" spans="1:11" ht="16" thickBot="1" x14ac:dyDescent="0.25">
      <c r="A46" s="181" t="s">
        <v>1284</v>
      </c>
      <c r="B46" s="174" t="s">
        <v>1261</v>
      </c>
      <c r="C46" s="174" t="s">
        <v>75</v>
      </c>
      <c r="D46" s="175" t="s">
        <v>28</v>
      </c>
      <c r="E46" s="185" t="s">
        <v>275</v>
      </c>
      <c r="F46" s="185" t="s">
        <v>364</v>
      </c>
      <c r="G46" s="185" t="s">
        <v>45</v>
      </c>
      <c r="H46" s="185">
        <v>30</v>
      </c>
      <c r="I46" s="176" t="s">
        <v>48</v>
      </c>
      <c r="J46" s="176">
        <v>2024</v>
      </c>
      <c r="K46" s="177">
        <v>1</v>
      </c>
    </row>
    <row r="47" spans="1:11" x14ac:dyDescent="0.2">
      <c r="A47" s="166" t="s">
        <v>1285</v>
      </c>
      <c r="B47" s="167" t="s">
        <v>1242</v>
      </c>
      <c r="C47" s="167" t="s">
        <v>122</v>
      </c>
      <c r="D47" s="168" t="s">
        <v>22</v>
      </c>
      <c r="E47" s="19" t="s">
        <v>282</v>
      </c>
      <c r="F47" s="19" t="s">
        <v>522</v>
      </c>
      <c r="G47" s="19" t="s">
        <v>45</v>
      </c>
      <c r="H47" s="19">
        <v>30</v>
      </c>
      <c r="I47" s="169" t="s">
        <v>48</v>
      </c>
      <c r="J47" s="169">
        <v>2024</v>
      </c>
      <c r="K47" s="170">
        <v>1</v>
      </c>
    </row>
    <row r="48" spans="1:11" x14ac:dyDescent="0.2">
      <c r="A48" s="166" t="s">
        <v>1285</v>
      </c>
      <c r="B48" s="167" t="s">
        <v>1243</v>
      </c>
      <c r="C48" s="167" t="s">
        <v>122</v>
      </c>
      <c r="D48" s="168" t="s">
        <v>22</v>
      </c>
      <c r="E48" s="19" t="s">
        <v>282</v>
      </c>
      <c r="F48" s="19" t="s">
        <v>534</v>
      </c>
      <c r="G48" s="19" t="s">
        <v>45</v>
      </c>
      <c r="H48" s="19">
        <v>30</v>
      </c>
      <c r="I48" s="169" t="s">
        <v>48</v>
      </c>
      <c r="J48" s="169">
        <v>2024</v>
      </c>
      <c r="K48" s="170">
        <v>1</v>
      </c>
    </row>
    <row r="49" spans="1:11" x14ac:dyDescent="0.2">
      <c r="A49" s="166" t="s">
        <v>1285</v>
      </c>
      <c r="B49" s="167" t="s">
        <v>1244</v>
      </c>
      <c r="C49" s="167" t="s">
        <v>122</v>
      </c>
      <c r="D49" s="168" t="s">
        <v>22</v>
      </c>
      <c r="E49" s="19" t="s">
        <v>282</v>
      </c>
      <c r="F49" s="19" t="s">
        <v>542</v>
      </c>
      <c r="G49" s="19" t="s">
        <v>45</v>
      </c>
      <c r="H49" s="19">
        <v>30</v>
      </c>
      <c r="I49" s="169" t="s">
        <v>48</v>
      </c>
      <c r="J49" s="169">
        <v>2024</v>
      </c>
      <c r="K49" s="170">
        <v>1</v>
      </c>
    </row>
    <row r="50" spans="1:11" x14ac:dyDescent="0.2">
      <c r="A50" s="166" t="s">
        <v>1285</v>
      </c>
      <c r="B50" s="167" t="s">
        <v>1245</v>
      </c>
      <c r="C50" s="167" t="s">
        <v>76</v>
      </c>
      <c r="D50" s="168" t="s">
        <v>25</v>
      </c>
      <c r="E50" s="19" t="s">
        <v>25</v>
      </c>
      <c r="F50" s="19" t="s">
        <v>524</v>
      </c>
      <c r="G50" s="19" t="s">
        <v>45</v>
      </c>
      <c r="H50" s="19">
        <v>30</v>
      </c>
      <c r="I50" s="169" t="s">
        <v>48</v>
      </c>
      <c r="J50" s="169">
        <v>2024</v>
      </c>
      <c r="K50" s="170">
        <v>1</v>
      </c>
    </row>
    <row r="51" spans="1:11" x14ac:dyDescent="0.2">
      <c r="A51" s="166" t="s">
        <v>1285</v>
      </c>
      <c r="B51" s="167" t="s">
        <v>1246</v>
      </c>
      <c r="C51" s="167" t="s">
        <v>125</v>
      </c>
      <c r="D51" s="168" t="s">
        <v>26</v>
      </c>
      <c r="E51" s="19" t="s">
        <v>286</v>
      </c>
      <c r="F51" s="19" t="s">
        <v>305</v>
      </c>
      <c r="G51" s="19" t="s">
        <v>45</v>
      </c>
      <c r="H51" s="19">
        <v>30</v>
      </c>
      <c r="I51" s="169" t="s">
        <v>57</v>
      </c>
      <c r="J51" s="169">
        <v>2024</v>
      </c>
      <c r="K51" s="170">
        <v>1</v>
      </c>
    </row>
    <row r="52" spans="1:11" x14ac:dyDescent="0.2">
      <c r="A52" s="166" t="s">
        <v>1285</v>
      </c>
      <c r="B52" s="167" t="s">
        <v>1247</v>
      </c>
      <c r="C52" s="167" t="s">
        <v>125</v>
      </c>
      <c r="D52" s="168" t="s">
        <v>27</v>
      </c>
      <c r="E52" s="19" t="s">
        <v>279</v>
      </c>
      <c r="F52" s="19" t="s">
        <v>305</v>
      </c>
      <c r="G52" s="19" t="s">
        <v>45</v>
      </c>
      <c r="H52" s="19">
        <v>30</v>
      </c>
      <c r="I52" s="169" t="s">
        <v>57</v>
      </c>
      <c r="J52" s="169">
        <v>2024</v>
      </c>
      <c r="K52" s="170">
        <v>1</v>
      </c>
    </row>
    <row r="53" spans="1:11" x14ac:dyDescent="0.2">
      <c r="A53" s="166" t="s">
        <v>1285</v>
      </c>
      <c r="B53" s="167" t="s">
        <v>1248</v>
      </c>
      <c r="C53" s="167" t="s">
        <v>125</v>
      </c>
      <c r="D53" s="168" t="s">
        <v>27</v>
      </c>
      <c r="E53" s="19" t="s">
        <v>283</v>
      </c>
      <c r="F53" s="19" t="s">
        <v>306</v>
      </c>
      <c r="G53" s="19" t="s">
        <v>45</v>
      </c>
      <c r="H53" s="19">
        <v>30</v>
      </c>
      <c r="I53" s="169" t="s">
        <v>57</v>
      </c>
      <c r="J53" s="169">
        <v>2024</v>
      </c>
      <c r="K53" s="170">
        <v>1</v>
      </c>
    </row>
    <row r="54" spans="1:11" x14ac:dyDescent="0.2">
      <c r="A54" s="166" t="s">
        <v>1285</v>
      </c>
      <c r="B54" s="171" t="s">
        <v>1258</v>
      </c>
      <c r="C54" s="171" t="s">
        <v>75</v>
      </c>
      <c r="D54" s="172" t="s">
        <v>28</v>
      </c>
      <c r="E54" s="184" t="s">
        <v>275</v>
      </c>
      <c r="F54" s="19" t="s">
        <v>56</v>
      </c>
      <c r="G54" s="19" t="s">
        <v>45</v>
      </c>
      <c r="H54" s="19">
        <v>30</v>
      </c>
      <c r="I54" s="169" t="s">
        <v>48</v>
      </c>
      <c r="J54" s="169">
        <v>2024</v>
      </c>
      <c r="K54" s="170">
        <v>1</v>
      </c>
    </row>
    <row r="55" spans="1:11" x14ac:dyDescent="0.2">
      <c r="A55" s="166" t="s">
        <v>1285</v>
      </c>
      <c r="B55" s="171" t="s">
        <v>1259</v>
      </c>
      <c r="C55" s="171" t="s">
        <v>75</v>
      </c>
      <c r="D55" s="172" t="s">
        <v>28</v>
      </c>
      <c r="E55" s="184" t="s">
        <v>275</v>
      </c>
      <c r="F55" s="19" t="s">
        <v>47</v>
      </c>
      <c r="G55" s="19" t="s">
        <v>45</v>
      </c>
      <c r="H55" s="19">
        <v>30</v>
      </c>
      <c r="I55" s="169" t="s">
        <v>48</v>
      </c>
      <c r="J55" s="169">
        <v>2024</v>
      </c>
      <c r="K55" s="170">
        <v>1</v>
      </c>
    </row>
    <row r="56" spans="1:11" x14ac:dyDescent="0.2">
      <c r="A56" s="166" t="s">
        <v>1285</v>
      </c>
      <c r="B56" s="171" t="s">
        <v>1260</v>
      </c>
      <c r="C56" s="171" t="s">
        <v>75</v>
      </c>
      <c r="D56" s="172" t="s">
        <v>28</v>
      </c>
      <c r="E56" s="184" t="s">
        <v>275</v>
      </c>
      <c r="F56" s="19" t="s">
        <v>291</v>
      </c>
      <c r="G56" s="19" t="s">
        <v>45</v>
      </c>
      <c r="H56" s="19">
        <v>30</v>
      </c>
      <c r="I56" s="169" t="s">
        <v>48</v>
      </c>
      <c r="J56" s="169">
        <v>2024</v>
      </c>
      <c r="K56" s="170">
        <v>1</v>
      </c>
    </row>
    <row r="57" spans="1:11" ht="16" thickBot="1" x14ac:dyDescent="0.25">
      <c r="A57" s="173" t="s">
        <v>1285</v>
      </c>
      <c r="B57" s="174" t="s">
        <v>1261</v>
      </c>
      <c r="C57" s="174" t="s">
        <v>75</v>
      </c>
      <c r="D57" s="175" t="s">
        <v>28</v>
      </c>
      <c r="E57" s="185" t="s">
        <v>275</v>
      </c>
      <c r="F57" s="185" t="s">
        <v>364</v>
      </c>
      <c r="G57" s="185" t="s">
        <v>45</v>
      </c>
      <c r="H57" s="185">
        <v>30</v>
      </c>
      <c r="I57" s="176" t="s">
        <v>48</v>
      </c>
      <c r="J57" s="176">
        <v>2024</v>
      </c>
      <c r="K57" s="177">
        <v>1</v>
      </c>
    </row>
    <row r="58" spans="1:11" x14ac:dyDescent="0.2">
      <c r="A58" s="178" t="s">
        <v>1286</v>
      </c>
      <c r="B58" s="167" t="s">
        <v>1242</v>
      </c>
      <c r="C58" s="167" t="s">
        <v>122</v>
      </c>
      <c r="D58" s="168" t="s">
        <v>22</v>
      </c>
      <c r="E58" s="19" t="s">
        <v>282</v>
      </c>
      <c r="F58" s="19" t="s">
        <v>522</v>
      </c>
      <c r="G58" s="19" t="s">
        <v>45</v>
      </c>
      <c r="H58" s="19">
        <v>30</v>
      </c>
      <c r="I58" s="169" t="s">
        <v>48</v>
      </c>
      <c r="J58" s="169">
        <v>2024</v>
      </c>
      <c r="K58" s="170">
        <v>1</v>
      </c>
    </row>
    <row r="59" spans="1:11" x14ac:dyDescent="0.2">
      <c r="A59" s="178" t="s">
        <v>1286</v>
      </c>
      <c r="B59" s="167" t="s">
        <v>1243</v>
      </c>
      <c r="C59" s="167" t="s">
        <v>122</v>
      </c>
      <c r="D59" s="168" t="s">
        <v>22</v>
      </c>
      <c r="E59" s="19" t="s">
        <v>282</v>
      </c>
      <c r="F59" s="19" t="s">
        <v>534</v>
      </c>
      <c r="G59" s="19" t="s">
        <v>45</v>
      </c>
      <c r="H59" s="19">
        <v>30</v>
      </c>
      <c r="I59" s="169" t="s">
        <v>48</v>
      </c>
      <c r="J59" s="169">
        <v>2024</v>
      </c>
      <c r="K59" s="170">
        <v>1</v>
      </c>
    </row>
    <row r="60" spans="1:11" x14ac:dyDescent="0.2">
      <c r="A60" s="178" t="s">
        <v>1286</v>
      </c>
      <c r="B60" s="167" t="s">
        <v>1244</v>
      </c>
      <c r="C60" s="167" t="s">
        <v>122</v>
      </c>
      <c r="D60" s="168" t="s">
        <v>22</v>
      </c>
      <c r="E60" s="19" t="s">
        <v>282</v>
      </c>
      <c r="F60" s="19" t="s">
        <v>542</v>
      </c>
      <c r="G60" s="19" t="s">
        <v>45</v>
      </c>
      <c r="H60" s="19">
        <v>30</v>
      </c>
      <c r="I60" s="169" t="s">
        <v>48</v>
      </c>
      <c r="J60" s="169">
        <v>2024</v>
      </c>
      <c r="K60" s="170">
        <v>1</v>
      </c>
    </row>
    <row r="61" spans="1:11" x14ac:dyDescent="0.2">
      <c r="A61" s="178" t="s">
        <v>1286</v>
      </c>
      <c r="B61" s="167" t="s">
        <v>1245</v>
      </c>
      <c r="C61" s="167" t="s">
        <v>76</v>
      </c>
      <c r="D61" s="168" t="s">
        <v>25</v>
      </c>
      <c r="E61" s="19" t="s">
        <v>25</v>
      </c>
      <c r="F61" s="19" t="s">
        <v>524</v>
      </c>
      <c r="G61" s="19" t="s">
        <v>45</v>
      </c>
      <c r="H61" s="19">
        <v>30</v>
      </c>
      <c r="I61" s="169" t="s">
        <v>48</v>
      </c>
      <c r="J61" s="169">
        <v>2024</v>
      </c>
      <c r="K61" s="170">
        <v>1</v>
      </c>
    </row>
    <row r="62" spans="1:11" x14ac:dyDescent="0.2">
      <c r="A62" s="178" t="s">
        <v>1286</v>
      </c>
      <c r="B62" s="167" t="s">
        <v>1246</v>
      </c>
      <c r="C62" s="167" t="s">
        <v>125</v>
      </c>
      <c r="D62" s="168" t="s">
        <v>26</v>
      </c>
      <c r="E62" s="19" t="s">
        <v>286</v>
      </c>
      <c r="F62" s="19" t="s">
        <v>305</v>
      </c>
      <c r="G62" s="19" t="s">
        <v>45</v>
      </c>
      <c r="H62" s="19">
        <v>30</v>
      </c>
      <c r="I62" s="169" t="s">
        <v>52</v>
      </c>
      <c r="J62" s="169">
        <v>2024</v>
      </c>
      <c r="K62" s="170">
        <v>1</v>
      </c>
    </row>
    <row r="63" spans="1:11" x14ac:dyDescent="0.2">
      <c r="A63" s="178" t="s">
        <v>1286</v>
      </c>
      <c r="B63" s="167" t="s">
        <v>1247</v>
      </c>
      <c r="C63" s="167" t="s">
        <v>125</v>
      </c>
      <c r="D63" s="168" t="s">
        <v>27</v>
      </c>
      <c r="E63" s="19" t="s">
        <v>279</v>
      </c>
      <c r="F63" s="19" t="s">
        <v>305</v>
      </c>
      <c r="G63" s="19" t="s">
        <v>45</v>
      </c>
      <c r="H63" s="19">
        <v>30</v>
      </c>
      <c r="I63" s="169" t="s">
        <v>52</v>
      </c>
      <c r="J63" s="169">
        <v>2024</v>
      </c>
      <c r="K63" s="170">
        <v>1</v>
      </c>
    </row>
    <row r="64" spans="1:11" x14ac:dyDescent="0.2">
      <c r="A64" s="178" t="s">
        <v>1286</v>
      </c>
      <c r="B64" s="167" t="s">
        <v>1248</v>
      </c>
      <c r="C64" s="167" t="s">
        <v>125</v>
      </c>
      <c r="D64" s="168" t="s">
        <v>27</v>
      </c>
      <c r="E64" s="19" t="s">
        <v>283</v>
      </c>
      <c r="F64" s="19" t="s">
        <v>306</v>
      </c>
      <c r="G64" s="19" t="s">
        <v>45</v>
      </c>
      <c r="H64" s="19">
        <v>30</v>
      </c>
      <c r="I64" s="169" t="s">
        <v>52</v>
      </c>
      <c r="J64" s="169">
        <v>2024</v>
      </c>
      <c r="K64" s="170">
        <v>1</v>
      </c>
    </row>
    <row r="65" spans="1:11" x14ac:dyDescent="0.2">
      <c r="A65" s="178" t="s">
        <v>1286</v>
      </c>
      <c r="B65" s="171" t="s">
        <v>1258</v>
      </c>
      <c r="C65" s="171" t="s">
        <v>75</v>
      </c>
      <c r="D65" s="172" t="s">
        <v>28</v>
      </c>
      <c r="E65" s="184" t="s">
        <v>275</v>
      </c>
      <c r="F65" s="19" t="s">
        <v>56</v>
      </c>
      <c r="G65" s="19" t="s">
        <v>45</v>
      </c>
      <c r="H65" s="19">
        <v>30</v>
      </c>
      <c r="I65" s="169" t="s">
        <v>48</v>
      </c>
      <c r="J65" s="169">
        <v>2024</v>
      </c>
      <c r="K65" s="170">
        <v>1</v>
      </c>
    </row>
    <row r="66" spans="1:11" x14ac:dyDescent="0.2">
      <c r="A66" s="178" t="s">
        <v>1286</v>
      </c>
      <c r="B66" s="171" t="s">
        <v>1259</v>
      </c>
      <c r="C66" s="171" t="s">
        <v>75</v>
      </c>
      <c r="D66" s="172" t="s">
        <v>28</v>
      </c>
      <c r="E66" s="184" t="s">
        <v>275</v>
      </c>
      <c r="F66" s="19" t="s">
        <v>47</v>
      </c>
      <c r="G66" s="19" t="s">
        <v>45</v>
      </c>
      <c r="H66" s="19">
        <v>30</v>
      </c>
      <c r="I66" s="169" t="s">
        <v>48</v>
      </c>
      <c r="J66" s="169">
        <v>2024</v>
      </c>
      <c r="K66" s="170">
        <v>1</v>
      </c>
    </row>
    <row r="67" spans="1:11" x14ac:dyDescent="0.2">
      <c r="A67" s="178" t="s">
        <v>1286</v>
      </c>
      <c r="B67" s="171" t="s">
        <v>1260</v>
      </c>
      <c r="C67" s="171" t="s">
        <v>75</v>
      </c>
      <c r="D67" s="172" t="s">
        <v>28</v>
      </c>
      <c r="E67" s="184" t="s">
        <v>275</v>
      </c>
      <c r="F67" s="19" t="s">
        <v>291</v>
      </c>
      <c r="G67" s="19" t="s">
        <v>45</v>
      </c>
      <c r="H67" s="19">
        <v>30</v>
      </c>
      <c r="I67" s="169" t="s">
        <v>48</v>
      </c>
      <c r="J67" s="169">
        <v>2024</v>
      </c>
      <c r="K67" s="170">
        <v>1</v>
      </c>
    </row>
    <row r="68" spans="1:11" ht="16" thickBot="1" x14ac:dyDescent="0.25">
      <c r="A68" s="179" t="s">
        <v>1286</v>
      </c>
      <c r="B68" s="174" t="s">
        <v>1261</v>
      </c>
      <c r="C68" s="174" t="s">
        <v>75</v>
      </c>
      <c r="D68" s="175" t="s">
        <v>28</v>
      </c>
      <c r="E68" s="185" t="s">
        <v>275</v>
      </c>
      <c r="F68" s="185" t="s">
        <v>364</v>
      </c>
      <c r="G68" s="185" t="s">
        <v>45</v>
      </c>
      <c r="H68" s="185">
        <v>30</v>
      </c>
      <c r="I68" s="176" t="s">
        <v>48</v>
      </c>
      <c r="J68" s="176">
        <v>2024</v>
      </c>
      <c r="K68" s="177">
        <v>1</v>
      </c>
    </row>
    <row r="69" spans="1:11" x14ac:dyDescent="0.2">
      <c r="A69" s="180" t="s">
        <v>1287</v>
      </c>
      <c r="B69" s="167" t="s">
        <v>1242</v>
      </c>
      <c r="C69" s="167" t="s">
        <v>122</v>
      </c>
      <c r="D69" s="168" t="s">
        <v>22</v>
      </c>
      <c r="E69" s="169" t="s">
        <v>282</v>
      </c>
      <c r="F69" s="169" t="s">
        <v>522</v>
      </c>
      <c r="G69" s="169" t="s">
        <v>45</v>
      </c>
      <c r="H69" s="169">
        <v>30</v>
      </c>
      <c r="I69" s="169" t="s">
        <v>48</v>
      </c>
      <c r="J69" s="169">
        <v>2024</v>
      </c>
      <c r="K69" s="170">
        <v>1</v>
      </c>
    </row>
    <row r="70" spans="1:11" x14ac:dyDescent="0.2">
      <c r="A70" s="180" t="s">
        <v>1287</v>
      </c>
      <c r="B70" s="167" t="s">
        <v>1243</v>
      </c>
      <c r="C70" s="167" t="s">
        <v>122</v>
      </c>
      <c r="D70" s="168" t="s">
        <v>22</v>
      </c>
      <c r="E70" s="169" t="s">
        <v>282</v>
      </c>
      <c r="F70" s="169" t="s">
        <v>534</v>
      </c>
      <c r="G70" s="169" t="s">
        <v>45</v>
      </c>
      <c r="H70" s="169">
        <v>30</v>
      </c>
      <c r="I70" s="169" t="s">
        <v>48</v>
      </c>
      <c r="J70" s="169">
        <v>2024</v>
      </c>
      <c r="K70" s="170">
        <v>1</v>
      </c>
    </row>
    <row r="71" spans="1:11" x14ac:dyDescent="0.2">
      <c r="A71" s="180" t="s">
        <v>1287</v>
      </c>
      <c r="B71" s="167" t="s">
        <v>1244</v>
      </c>
      <c r="C71" s="167" t="s">
        <v>122</v>
      </c>
      <c r="D71" s="168" t="s">
        <v>22</v>
      </c>
      <c r="E71" s="169" t="s">
        <v>282</v>
      </c>
      <c r="F71" s="169" t="s">
        <v>542</v>
      </c>
      <c r="G71" s="169" t="s">
        <v>45</v>
      </c>
      <c r="H71" s="169">
        <v>30</v>
      </c>
      <c r="I71" s="169" t="s">
        <v>48</v>
      </c>
      <c r="J71" s="169">
        <v>2024</v>
      </c>
      <c r="K71" s="170">
        <v>1</v>
      </c>
    </row>
    <row r="72" spans="1:11" x14ac:dyDescent="0.2">
      <c r="A72" s="180" t="s">
        <v>1287</v>
      </c>
      <c r="B72" s="167" t="s">
        <v>1245</v>
      </c>
      <c r="C72" s="167" t="s">
        <v>76</v>
      </c>
      <c r="D72" s="168" t="s">
        <v>25</v>
      </c>
      <c r="E72" s="169" t="s">
        <v>25</v>
      </c>
      <c r="F72" s="169" t="s">
        <v>524</v>
      </c>
      <c r="G72" s="169" t="s">
        <v>45</v>
      </c>
      <c r="H72" s="169">
        <v>30</v>
      </c>
      <c r="I72" s="169" t="s">
        <v>52</v>
      </c>
      <c r="J72" s="169">
        <v>2024</v>
      </c>
      <c r="K72" s="170">
        <v>1</v>
      </c>
    </row>
    <row r="73" spans="1:11" x14ac:dyDescent="0.2">
      <c r="A73" s="180" t="s">
        <v>1287</v>
      </c>
      <c r="B73" s="167" t="s">
        <v>1246</v>
      </c>
      <c r="C73" s="167" t="s">
        <v>125</v>
      </c>
      <c r="D73" s="168" t="s">
        <v>26</v>
      </c>
      <c r="E73" s="169" t="s">
        <v>286</v>
      </c>
      <c r="F73" s="169" t="s">
        <v>305</v>
      </c>
      <c r="G73" s="169" t="s">
        <v>45</v>
      </c>
      <c r="H73" s="169">
        <v>30</v>
      </c>
      <c r="I73" s="169" t="s">
        <v>48</v>
      </c>
      <c r="J73" s="169">
        <v>2024</v>
      </c>
      <c r="K73" s="170">
        <v>1</v>
      </c>
    </row>
    <row r="74" spans="1:11" x14ac:dyDescent="0.2">
      <c r="A74" s="180" t="s">
        <v>1287</v>
      </c>
      <c r="B74" s="167" t="s">
        <v>1247</v>
      </c>
      <c r="C74" s="167" t="s">
        <v>125</v>
      </c>
      <c r="D74" s="168" t="s">
        <v>27</v>
      </c>
      <c r="E74" s="169" t="s">
        <v>279</v>
      </c>
      <c r="F74" s="169" t="s">
        <v>305</v>
      </c>
      <c r="G74" s="169" t="s">
        <v>45</v>
      </c>
      <c r="H74" s="169">
        <v>30</v>
      </c>
      <c r="I74" s="169" t="s">
        <v>48</v>
      </c>
      <c r="J74" s="169">
        <v>2024</v>
      </c>
      <c r="K74" s="170">
        <v>1</v>
      </c>
    </row>
    <row r="75" spans="1:11" x14ac:dyDescent="0.2">
      <c r="A75" s="180" t="s">
        <v>1287</v>
      </c>
      <c r="B75" s="167" t="s">
        <v>1248</v>
      </c>
      <c r="C75" s="167" t="s">
        <v>125</v>
      </c>
      <c r="D75" s="168" t="s">
        <v>27</v>
      </c>
      <c r="E75" s="169" t="s">
        <v>283</v>
      </c>
      <c r="F75" s="169" t="s">
        <v>306</v>
      </c>
      <c r="G75" s="169" t="s">
        <v>45</v>
      </c>
      <c r="H75" s="169">
        <v>30</v>
      </c>
      <c r="I75" s="169" t="s">
        <v>48</v>
      </c>
      <c r="J75" s="169">
        <v>2024</v>
      </c>
      <c r="K75" s="170">
        <v>1</v>
      </c>
    </row>
    <row r="76" spans="1:11" x14ac:dyDescent="0.2">
      <c r="A76" s="180" t="s">
        <v>1287</v>
      </c>
      <c r="B76" s="171" t="s">
        <v>1258</v>
      </c>
      <c r="C76" s="171" t="s">
        <v>75</v>
      </c>
      <c r="D76" s="172" t="s">
        <v>28</v>
      </c>
      <c r="E76" s="187" t="s">
        <v>275</v>
      </c>
      <c r="F76" s="169" t="s">
        <v>56</v>
      </c>
      <c r="G76" s="169" t="s">
        <v>45</v>
      </c>
      <c r="H76" s="169">
        <v>30</v>
      </c>
      <c r="I76" s="169" t="s">
        <v>48</v>
      </c>
      <c r="J76" s="169">
        <v>2024</v>
      </c>
      <c r="K76" s="170">
        <v>1</v>
      </c>
    </row>
    <row r="77" spans="1:11" x14ac:dyDescent="0.2">
      <c r="A77" s="180" t="s">
        <v>1287</v>
      </c>
      <c r="B77" s="171" t="s">
        <v>1259</v>
      </c>
      <c r="C77" s="171" t="s">
        <v>75</v>
      </c>
      <c r="D77" s="172" t="s">
        <v>28</v>
      </c>
      <c r="E77" s="187" t="s">
        <v>275</v>
      </c>
      <c r="F77" s="169" t="s">
        <v>47</v>
      </c>
      <c r="G77" s="169" t="s">
        <v>45</v>
      </c>
      <c r="H77" s="169">
        <v>30</v>
      </c>
      <c r="I77" s="169" t="s">
        <v>48</v>
      </c>
      <c r="J77" s="169">
        <v>2024</v>
      </c>
      <c r="K77" s="170">
        <v>1</v>
      </c>
    </row>
    <row r="78" spans="1:11" x14ac:dyDescent="0.2">
      <c r="A78" s="180" t="s">
        <v>1287</v>
      </c>
      <c r="B78" s="171" t="s">
        <v>1260</v>
      </c>
      <c r="C78" s="171" t="s">
        <v>75</v>
      </c>
      <c r="D78" s="172" t="s">
        <v>28</v>
      </c>
      <c r="E78" s="187" t="s">
        <v>275</v>
      </c>
      <c r="F78" s="169" t="s">
        <v>291</v>
      </c>
      <c r="G78" s="169" t="s">
        <v>45</v>
      </c>
      <c r="H78" s="169">
        <v>30</v>
      </c>
      <c r="I78" s="169" t="s">
        <v>48</v>
      </c>
      <c r="J78" s="169">
        <v>2024</v>
      </c>
      <c r="K78" s="170">
        <v>1</v>
      </c>
    </row>
    <row r="79" spans="1:11" ht="16" thickBot="1" x14ac:dyDescent="0.25">
      <c r="A79" s="181" t="s">
        <v>1287</v>
      </c>
      <c r="B79" s="174" t="s">
        <v>1261</v>
      </c>
      <c r="C79" s="174" t="s">
        <v>75</v>
      </c>
      <c r="D79" s="175" t="s">
        <v>28</v>
      </c>
      <c r="E79" s="176" t="s">
        <v>275</v>
      </c>
      <c r="F79" s="176" t="s">
        <v>364</v>
      </c>
      <c r="G79" s="176" t="s">
        <v>45</v>
      </c>
      <c r="H79" s="176">
        <v>30</v>
      </c>
      <c r="I79" s="176" t="s">
        <v>48</v>
      </c>
      <c r="J79" s="176">
        <v>2024</v>
      </c>
      <c r="K79" s="177">
        <v>1</v>
      </c>
    </row>
  </sheetData>
  <dataConsolidate/>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AE6A-0195-4EEC-82D5-B97841AF2EF9}">
  <sheetPr codeName="Sheet11">
    <tabColor theme="7" tint="0.79998168889431442"/>
  </sheetPr>
  <dimension ref="A1:BU58"/>
  <sheetViews>
    <sheetView zoomScaleNormal="100" workbookViewId="0">
      <selection activeCell="A5" sqref="A5"/>
    </sheetView>
  </sheetViews>
  <sheetFormatPr baseColWidth="10" defaultColWidth="8.83203125" defaultRowHeight="15" x14ac:dyDescent="0.2"/>
  <cols>
    <col min="1" max="1" width="24.1640625" customWidth="1"/>
    <col min="2" max="2" width="34.33203125" customWidth="1"/>
    <col min="3" max="3" width="16.5" customWidth="1"/>
    <col min="4" max="6" width="12.5" customWidth="1"/>
    <col min="7" max="7" width="16.5" customWidth="1"/>
    <col min="8" max="8" width="15.5" customWidth="1"/>
    <col min="9" max="9" width="18.5" customWidth="1"/>
    <col min="10" max="10" width="22" customWidth="1"/>
    <col min="11" max="11" width="16" customWidth="1"/>
    <col min="12" max="13" width="13.5" customWidth="1"/>
    <col min="14" max="14" width="16.5" customWidth="1"/>
    <col min="15" max="43" width="18.5" customWidth="1"/>
    <col min="44" max="72" width="21.5" customWidth="1"/>
    <col min="73" max="73" width="20" customWidth="1"/>
  </cols>
  <sheetData>
    <row r="1" spans="1:73" s="125" customFormat="1" x14ac:dyDescent="0.2"/>
    <row r="2" spans="1:73" ht="33" thickBot="1" x14ac:dyDescent="0.25">
      <c r="A2" s="11" t="s">
        <v>508</v>
      </c>
      <c r="B2" s="11" t="s">
        <v>72</v>
      </c>
      <c r="C2" s="11" t="s">
        <v>73</v>
      </c>
      <c r="D2" s="20" t="s">
        <v>510</v>
      </c>
      <c r="E2" s="11" t="s">
        <v>156</v>
      </c>
      <c r="F2" s="11" t="s">
        <v>158</v>
      </c>
      <c r="G2" s="11" t="s">
        <v>147</v>
      </c>
      <c r="H2" s="11" t="s">
        <v>152</v>
      </c>
      <c r="I2" s="11" t="s">
        <v>153</v>
      </c>
      <c r="J2" s="11" t="s">
        <v>161</v>
      </c>
      <c r="K2" s="20" t="s">
        <v>146</v>
      </c>
      <c r="L2" s="11" t="s">
        <v>39</v>
      </c>
      <c r="M2" s="11" t="s">
        <v>38</v>
      </c>
      <c r="N2" s="20" t="s">
        <v>145</v>
      </c>
      <c r="O2" s="44" t="s">
        <v>503</v>
      </c>
      <c r="P2" s="11" t="s">
        <v>198</v>
      </c>
      <c r="Q2" s="11" t="s">
        <v>199</v>
      </c>
      <c r="R2" s="11" t="s">
        <v>200</v>
      </c>
      <c r="S2" s="11" t="s">
        <v>201</v>
      </c>
      <c r="T2" s="11" t="s">
        <v>202</v>
      </c>
      <c r="U2" s="11" t="s">
        <v>203</v>
      </c>
      <c r="V2" s="11" t="s">
        <v>204</v>
      </c>
      <c r="W2" s="11" t="s">
        <v>205</v>
      </c>
      <c r="X2" s="11" t="s">
        <v>206</v>
      </c>
      <c r="Y2" s="11" t="s">
        <v>207</v>
      </c>
      <c r="Z2" s="11" t="s">
        <v>208</v>
      </c>
      <c r="AA2" s="11" t="s">
        <v>209</v>
      </c>
      <c r="AB2" s="11" t="s">
        <v>210</v>
      </c>
      <c r="AC2" s="11" t="s">
        <v>211</v>
      </c>
      <c r="AD2" s="11" t="s">
        <v>212</v>
      </c>
      <c r="AE2" s="11" t="s">
        <v>213</v>
      </c>
      <c r="AF2" s="11" t="s">
        <v>214</v>
      </c>
      <c r="AG2" s="11" t="s">
        <v>215</v>
      </c>
      <c r="AH2" s="11" t="s">
        <v>216</v>
      </c>
      <c r="AI2" s="11" t="s">
        <v>217</v>
      </c>
      <c r="AJ2" s="11" t="s">
        <v>218</v>
      </c>
      <c r="AK2" s="11" t="s">
        <v>219</v>
      </c>
      <c r="AL2" s="11" t="s">
        <v>220</v>
      </c>
      <c r="AM2" s="11" t="s">
        <v>221</v>
      </c>
      <c r="AN2" s="11" t="s">
        <v>222</v>
      </c>
      <c r="AO2" s="11" t="s">
        <v>223</v>
      </c>
      <c r="AP2" s="11" t="s">
        <v>224</v>
      </c>
      <c r="AQ2" s="11" t="s">
        <v>225</v>
      </c>
      <c r="AR2" s="11" t="s">
        <v>226</v>
      </c>
      <c r="AS2" s="11" t="s">
        <v>227</v>
      </c>
      <c r="AT2" s="11" t="s">
        <v>228</v>
      </c>
      <c r="AU2" s="11" t="s">
        <v>229</v>
      </c>
      <c r="AV2" s="11" t="s">
        <v>230</v>
      </c>
      <c r="AW2" s="11" t="s">
        <v>231</v>
      </c>
      <c r="AX2" s="11" t="s">
        <v>232</v>
      </c>
      <c r="AY2" s="11" t="s">
        <v>233</v>
      </c>
      <c r="AZ2" s="11" t="s">
        <v>234</v>
      </c>
      <c r="BA2" s="11" t="s">
        <v>235</v>
      </c>
      <c r="BB2" s="11" t="s">
        <v>236</v>
      </c>
      <c r="BC2" s="11" t="s">
        <v>237</v>
      </c>
      <c r="BD2" s="11" t="s">
        <v>238</v>
      </c>
      <c r="BE2" s="11" t="s">
        <v>239</v>
      </c>
      <c r="BF2" s="11" t="s">
        <v>240</v>
      </c>
      <c r="BG2" s="11" t="s">
        <v>241</v>
      </c>
      <c r="BH2" s="11" t="s">
        <v>242</v>
      </c>
      <c r="BI2" s="11" t="s">
        <v>243</v>
      </c>
      <c r="BJ2" s="11" t="s">
        <v>244</v>
      </c>
      <c r="BK2" s="11" t="s">
        <v>245</v>
      </c>
      <c r="BL2" s="11" t="s">
        <v>246</v>
      </c>
      <c r="BM2" s="11" t="s">
        <v>247</v>
      </c>
      <c r="BN2" s="11" t="s">
        <v>248</v>
      </c>
      <c r="BO2" s="11" t="s">
        <v>249</v>
      </c>
      <c r="BP2" s="11" t="s">
        <v>250</v>
      </c>
      <c r="BQ2" s="11" t="s">
        <v>251</v>
      </c>
      <c r="BR2" s="11" t="s">
        <v>252</v>
      </c>
      <c r="BS2" s="11" t="s">
        <v>253</v>
      </c>
      <c r="BT2" s="11" t="s">
        <v>254</v>
      </c>
      <c r="BU2" s="11" t="s">
        <v>255</v>
      </c>
    </row>
    <row r="3" spans="1:73" s="22" customFormat="1" ht="32.25" customHeight="1" thickBot="1" x14ac:dyDescent="0.25">
      <c r="A3" s="21"/>
      <c r="B3" s="21"/>
      <c r="C3" s="21"/>
      <c r="D3" s="21"/>
      <c r="E3" s="21"/>
      <c r="F3" s="21"/>
      <c r="G3" s="21" t="s">
        <v>149</v>
      </c>
      <c r="H3" s="21" t="s">
        <v>150</v>
      </c>
      <c r="I3" s="21" t="s">
        <v>154</v>
      </c>
      <c r="J3" s="21" t="s">
        <v>162</v>
      </c>
      <c r="K3" s="21"/>
      <c r="L3" s="21" t="s">
        <v>58</v>
      </c>
      <c r="M3" s="21" t="s">
        <v>59</v>
      </c>
      <c r="N3" s="21"/>
      <c r="O3" s="2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row>
    <row r="4" spans="1:73" s="22" customFormat="1" ht="16" x14ac:dyDescent="0.2">
      <c r="A4" s="23"/>
      <c r="B4" s="23"/>
      <c r="C4" s="23"/>
      <c r="D4" s="23"/>
      <c r="E4" s="23" t="s">
        <v>157</v>
      </c>
      <c r="F4" s="23" t="s">
        <v>159</v>
      </c>
      <c r="G4" s="23" t="s">
        <v>148</v>
      </c>
      <c r="H4" s="23" t="s">
        <v>151</v>
      </c>
      <c r="I4" s="23" t="s">
        <v>155</v>
      </c>
      <c r="J4" s="23" t="s">
        <v>163</v>
      </c>
      <c r="K4" s="23"/>
      <c r="L4" s="23" t="s">
        <v>143</v>
      </c>
      <c r="M4" s="23" t="s">
        <v>144</v>
      </c>
      <c r="N4" s="23"/>
      <c r="O4" s="23"/>
    </row>
    <row r="5" spans="1:73" x14ac:dyDescent="0.2">
      <c r="A5" s="103" t="s">
        <v>554</v>
      </c>
      <c r="B5" s="111" t="s">
        <v>1249</v>
      </c>
      <c r="C5" s="25" t="s">
        <v>75</v>
      </c>
      <c r="D5" s="26"/>
      <c r="E5" s="25">
        <v>100</v>
      </c>
      <c r="F5" s="25">
        <v>10</v>
      </c>
      <c r="G5" s="25">
        <v>0.65</v>
      </c>
      <c r="H5" s="25">
        <v>26280</v>
      </c>
      <c r="I5" s="25">
        <v>60</v>
      </c>
      <c r="J5" s="32">
        <f t="shared" ref="J5:J58" si="0">(E5*F5*G5*H5*0.8)/I5</f>
        <v>227760</v>
      </c>
      <c r="K5" s="26"/>
      <c r="L5" s="25">
        <v>13.88</v>
      </c>
      <c r="M5" s="25">
        <v>0.97</v>
      </c>
      <c r="N5" s="26"/>
      <c r="O5" s="104">
        <v>1</v>
      </c>
      <c r="P5" s="42">
        <v>918.32684832983989</v>
      </c>
      <c r="Q5" s="42">
        <v>918.32684832983989</v>
      </c>
      <c r="R5" s="42">
        <v>918.32684832983989</v>
      </c>
      <c r="S5" s="42">
        <v>918.32684832983989</v>
      </c>
      <c r="T5" s="42">
        <v>918.32684832983989</v>
      </c>
      <c r="U5" s="42">
        <v>918.32684832983989</v>
      </c>
      <c r="V5" s="42">
        <v>918.32684832983989</v>
      </c>
      <c r="W5" s="42">
        <v>918.32684832983989</v>
      </c>
      <c r="X5" s="42">
        <v>918.32684832983989</v>
      </c>
      <c r="Y5" s="42">
        <v>918.32684832983989</v>
      </c>
      <c r="Z5" s="42">
        <v>918.32684832983989</v>
      </c>
      <c r="AA5" s="42">
        <v>918.32684832983989</v>
      </c>
      <c r="AB5" s="42">
        <v>918.32684832983989</v>
      </c>
      <c r="AC5" s="42">
        <v>918.32684832983989</v>
      </c>
      <c r="AD5" s="42">
        <v>918.32684832983989</v>
      </c>
      <c r="AE5" s="42">
        <v>918.32684832983989</v>
      </c>
      <c r="AF5" s="42">
        <v>918.32684832983989</v>
      </c>
      <c r="AG5" s="42">
        <v>918.32684832983989</v>
      </c>
      <c r="AH5" s="42">
        <v>918.32684832983989</v>
      </c>
      <c r="AI5" s="42">
        <v>918.32684832983989</v>
      </c>
      <c r="AJ5" s="42">
        <v>918.32684832983989</v>
      </c>
      <c r="AK5" s="42">
        <v>918.32684832983989</v>
      </c>
      <c r="AL5" s="42">
        <v>918.32684832983989</v>
      </c>
      <c r="AM5" s="42">
        <v>918.32684832983989</v>
      </c>
      <c r="AN5" s="42">
        <v>918.32684832983989</v>
      </c>
      <c r="AO5" s="42">
        <v>918.32684832983989</v>
      </c>
      <c r="AP5" s="42">
        <v>918.32684832983989</v>
      </c>
      <c r="AQ5" s="42">
        <v>918.32684832983989</v>
      </c>
      <c r="AR5" s="42">
        <v>918.32684832983989</v>
      </c>
      <c r="AS5" s="42">
        <v>2.6070038912800002</v>
      </c>
      <c r="AT5" s="42">
        <v>2.6070038912800002</v>
      </c>
      <c r="AU5" s="42">
        <v>2.6070038912800002</v>
      </c>
      <c r="AV5" s="42">
        <v>2.6070038912800002</v>
      </c>
      <c r="AW5" s="42">
        <v>2.6070038912800002</v>
      </c>
      <c r="AX5" s="42">
        <v>2.6070038912800002</v>
      </c>
      <c r="AY5" s="42">
        <v>2.6070038912800002</v>
      </c>
      <c r="AZ5" s="42">
        <v>2.6070038912800002</v>
      </c>
      <c r="BA5" s="42">
        <v>2.6070038912800002</v>
      </c>
      <c r="BB5" s="42">
        <v>2.6070038912800002</v>
      </c>
      <c r="BC5" s="42">
        <v>2.6070038912800002</v>
      </c>
      <c r="BD5" s="42">
        <v>2.6070038912800002</v>
      </c>
      <c r="BE5" s="42">
        <v>2.6070038912800002</v>
      </c>
      <c r="BF5" s="42">
        <v>2.6070038912800002</v>
      </c>
      <c r="BG5" s="42">
        <v>2.6070038912800002</v>
      </c>
      <c r="BH5" s="42">
        <v>2.6070038912800002</v>
      </c>
      <c r="BI5" s="42">
        <v>2.6070038912800002</v>
      </c>
      <c r="BJ5" s="42">
        <v>2.6070038912800002</v>
      </c>
      <c r="BK5" s="42">
        <v>2.6070038912800002</v>
      </c>
      <c r="BL5" s="42">
        <v>2.6070038912800002</v>
      </c>
      <c r="BM5" s="42">
        <v>2.6070038912800002</v>
      </c>
      <c r="BN5" s="42">
        <v>2.6070038912800002</v>
      </c>
      <c r="BO5" s="42">
        <v>2.6070038912800002</v>
      </c>
      <c r="BP5" s="42">
        <v>2.6070038912800002</v>
      </c>
      <c r="BQ5" s="42">
        <v>2.6070038912800002</v>
      </c>
      <c r="BR5" s="42">
        <v>2.6070038912800002</v>
      </c>
      <c r="BS5" s="42">
        <v>2.6070038912800002</v>
      </c>
      <c r="BT5" s="42">
        <v>2.6070038912800002</v>
      </c>
      <c r="BU5" s="42">
        <v>2.6070038912800002</v>
      </c>
    </row>
    <row r="6" spans="1:73" x14ac:dyDescent="0.2">
      <c r="A6" s="103" t="s">
        <v>554</v>
      </c>
      <c r="B6" s="111" t="s">
        <v>1250</v>
      </c>
      <c r="C6" s="25" t="s">
        <v>75</v>
      </c>
      <c r="D6" s="26"/>
      <c r="E6" s="25">
        <v>100</v>
      </c>
      <c r="F6" s="25">
        <v>24</v>
      </c>
      <c r="G6" s="25">
        <v>0.65</v>
      </c>
      <c r="H6" s="25">
        <v>10920</v>
      </c>
      <c r="I6" s="25">
        <v>60</v>
      </c>
      <c r="J6" s="32">
        <f t="shared" si="0"/>
        <v>227136</v>
      </c>
      <c r="K6" s="26"/>
      <c r="L6" s="25">
        <v>13.39</v>
      </c>
      <c r="M6" s="25">
        <v>0.97</v>
      </c>
      <c r="N6" s="26"/>
      <c r="O6" s="104">
        <v>1</v>
      </c>
      <c r="P6" s="42">
        <v>917.86964988622003</v>
      </c>
      <c r="Q6" s="42">
        <v>917.86964988622003</v>
      </c>
      <c r="R6" s="42">
        <v>917.86964988622003</v>
      </c>
      <c r="S6" s="42">
        <v>917.86964988622003</v>
      </c>
      <c r="T6" s="42">
        <v>917.86964988622003</v>
      </c>
      <c r="U6" s="42">
        <v>917.86964988622003</v>
      </c>
      <c r="V6" s="42">
        <v>917.86964988622003</v>
      </c>
      <c r="W6" s="42">
        <v>917.86964988622003</v>
      </c>
      <c r="X6" s="42">
        <v>917.86964988622003</v>
      </c>
      <c r="Y6" s="42">
        <v>917.86964988622003</v>
      </c>
      <c r="Z6" s="42">
        <v>917.86964988622003</v>
      </c>
      <c r="AA6" s="42">
        <v>917.86964988622003</v>
      </c>
      <c r="AB6" s="42">
        <v>917.86964988622003</v>
      </c>
      <c r="AC6" s="42">
        <v>917.86964988622003</v>
      </c>
      <c r="AD6" s="42">
        <v>917.86964988622003</v>
      </c>
      <c r="AE6" s="42">
        <v>917.86964988622003</v>
      </c>
      <c r="AF6" s="42">
        <v>917.86964988622003</v>
      </c>
      <c r="AG6" s="42">
        <v>917.86964988622003</v>
      </c>
      <c r="AH6" s="42">
        <v>917.86964988622003</v>
      </c>
      <c r="AI6" s="42">
        <v>917.86964988622003</v>
      </c>
      <c r="AJ6" s="42">
        <v>917.86964988622003</v>
      </c>
      <c r="AK6" s="42">
        <v>917.86964988622003</v>
      </c>
      <c r="AL6" s="42">
        <v>917.86964988622003</v>
      </c>
      <c r="AM6" s="42">
        <v>917.86964988622003</v>
      </c>
      <c r="AN6" s="42">
        <v>917.86964988622003</v>
      </c>
      <c r="AO6" s="42">
        <v>917.86964988622003</v>
      </c>
      <c r="AP6" s="42">
        <v>917.86964988622003</v>
      </c>
      <c r="AQ6" s="42">
        <v>917.86964988622003</v>
      </c>
      <c r="AR6" s="42">
        <v>917.86964988622003</v>
      </c>
      <c r="AS6" s="42">
        <v>2.5291828796</v>
      </c>
      <c r="AT6" s="42">
        <v>2.5291828796</v>
      </c>
      <c r="AU6" s="42">
        <v>2.5291828796</v>
      </c>
      <c r="AV6" s="42">
        <v>2.5291828796</v>
      </c>
      <c r="AW6" s="42">
        <v>2.5291828796</v>
      </c>
      <c r="AX6" s="42">
        <v>2.5291828796</v>
      </c>
      <c r="AY6" s="42">
        <v>2.5291828796</v>
      </c>
      <c r="AZ6" s="42">
        <v>2.5291828796</v>
      </c>
      <c r="BA6" s="42">
        <v>2.5291828796</v>
      </c>
      <c r="BB6" s="42">
        <v>2.5291828796</v>
      </c>
      <c r="BC6" s="42">
        <v>2.5291828796</v>
      </c>
      <c r="BD6" s="42">
        <v>2.5291828796</v>
      </c>
      <c r="BE6" s="42">
        <v>2.5291828796</v>
      </c>
      <c r="BF6" s="42">
        <v>2.5291828796</v>
      </c>
      <c r="BG6" s="42">
        <v>2.5291828796</v>
      </c>
      <c r="BH6" s="42">
        <v>2.5291828796</v>
      </c>
      <c r="BI6" s="42">
        <v>2.5291828796</v>
      </c>
      <c r="BJ6" s="42">
        <v>2.5291828796</v>
      </c>
      <c r="BK6" s="42">
        <v>2.5291828796</v>
      </c>
      <c r="BL6" s="42">
        <v>2.5291828796</v>
      </c>
      <c r="BM6" s="42">
        <v>2.5291828796</v>
      </c>
      <c r="BN6" s="42">
        <v>2.5291828796</v>
      </c>
      <c r="BO6" s="42">
        <v>2.5291828796</v>
      </c>
      <c r="BP6" s="42">
        <v>2.5291828796</v>
      </c>
      <c r="BQ6" s="42">
        <v>2.5291828796</v>
      </c>
      <c r="BR6" s="42">
        <v>2.5291828796</v>
      </c>
      <c r="BS6" s="42">
        <v>2.5291828796</v>
      </c>
      <c r="BT6" s="42">
        <v>2.5291828796</v>
      </c>
      <c r="BU6" s="42">
        <v>2.5291828796</v>
      </c>
    </row>
    <row r="7" spans="1:73" x14ac:dyDescent="0.2">
      <c r="A7" s="103" t="s">
        <v>554</v>
      </c>
      <c r="B7" s="111" t="s">
        <v>1251</v>
      </c>
      <c r="C7" s="25" t="s">
        <v>75</v>
      </c>
      <c r="D7" s="26"/>
      <c r="E7" s="25">
        <v>100</v>
      </c>
      <c r="F7" s="25">
        <v>100</v>
      </c>
      <c r="G7" s="25">
        <v>0.65</v>
      </c>
      <c r="H7" s="25">
        <v>2580</v>
      </c>
      <c r="I7" s="25">
        <v>60</v>
      </c>
      <c r="J7" s="32">
        <f t="shared" si="0"/>
        <v>223600</v>
      </c>
      <c r="K7" s="26"/>
      <c r="L7" s="25">
        <v>14.85</v>
      </c>
      <c r="M7" s="25">
        <v>0.97</v>
      </c>
      <c r="N7" s="26"/>
      <c r="O7" s="104">
        <v>1</v>
      </c>
      <c r="P7" s="42">
        <v>917.62645922471995</v>
      </c>
      <c r="Q7" s="42">
        <v>917.62645922471995</v>
      </c>
      <c r="R7" s="42">
        <v>917.62645922471995</v>
      </c>
      <c r="S7" s="42">
        <v>917.62645922471995</v>
      </c>
      <c r="T7" s="42">
        <v>917.62645922471995</v>
      </c>
      <c r="U7" s="42">
        <v>917.62645922471995</v>
      </c>
      <c r="V7" s="42">
        <v>917.62645922471995</v>
      </c>
      <c r="W7" s="42">
        <v>917.62645922471995</v>
      </c>
      <c r="X7" s="42">
        <v>917.62645922471995</v>
      </c>
      <c r="Y7" s="42">
        <v>917.62645922471995</v>
      </c>
      <c r="Z7" s="42">
        <v>917.62645922471995</v>
      </c>
      <c r="AA7" s="42">
        <v>917.62645922471995</v>
      </c>
      <c r="AB7" s="42">
        <v>917.62645922471995</v>
      </c>
      <c r="AC7" s="42">
        <v>917.62645922471995</v>
      </c>
      <c r="AD7" s="42">
        <v>917.62645922471995</v>
      </c>
      <c r="AE7" s="42">
        <v>917.62645922471995</v>
      </c>
      <c r="AF7" s="42">
        <v>917.62645922471995</v>
      </c>
      <c r="AG7" s="42">
        <v>917.62645922471995</v>
      </c>
      <c r="AH7" s="42">
        <v>917.62645922471995</v>
      </c>
      <c r="AI7" s="42">
        <v>917.62645922471995</v>
      </c>
      <c r="AJ7" s="42">
        <v>917.62645922471995</v>
      </c>
      <c r="AK7" s="42">
        <v>917.62645922471995</v>
      </c>
      <c r="AL7" s="42">
        <v>917.62645922471995</v>
      </c>
      <c r="AM7" s="42">
        <v>917.62645922471995</v>
      </c>
      <c r="AN7" s="42">
        <v>917.62645922471995</v>
      </c>
      <c r="AO7" s="42">
        <v>917.62645922471995</v>
      </c>
      <c r="AP7" s="42">
        <v>917.62645922471995</v>
      </c>
      <c r="AQ7" s="42">
        <v>917.62645922471995</v>
      </c>
      <c r="AR7" s="42">
        <v>917.62645922471995</v>
      </c>
      <c r="AS7" s="42">
        <v>2.40272373562</v>
      </c>
      <c r="AT7" s="42">
        <v>2.40272373562</v>
      </c>
      <c r="AU7" s="42">
        <v>2.40272373562</v>
      </c>
      <c r="AV7" s="42">
        <v>2.40272373562</v>
      </c>
      <c r="AW7" s="42">
        <v>2.40272373562</v>
      </c>
      <c r="AX7" s="42">
        <v>2.40272373562</v>
      </c>
      <c r="AY7" s="42">
        <v>2.40272373562</v>
      </c>
      <c r="AZ7" s="42">
        <v>2.40272373562</v>
      </c>
      <c r="BA7" s="42">
        <v>2.40272373562</v>
      </c>
      <c r="BB7" s="42">
        <v>2.40272373562</v>
      </c>
      <c r="BC7" s="42">
        <v>2.40272373562</v>
      </c>
      <c r="BD7" s="42">
        <v>2.40272373562</v>
      </c>
      <c r="BE7" s="42">
        <v>2.40272373562</v>
      </c>
      <c r="BF7" s="42">
        <v>2.40272373562</v>
      </c>
      <c r="BG7" s="42">
        <v>2.40272373562</v>
      </c>
      <c r="BH7" s="42">
        <v>2.40272373562</v>
      </c>
      <c r="BI7" s="42">
        <v>2.40272373562</v>
      </c>
      <c r="BJ7" s="42">
        <v>2.40272373562</v>
      </c>
      <c r="BK7" s="42">
        <v>2.40272373562</v>
      </c>
      <c r="BL7" s="42">
        <v>2.40272373562</v>
      </c>
      <c r="BM7" s="42">
        <v>2.40272373562</v>
      </c>
      <c r="BN7" s="42">
        <v>2.40272373562</v>
      </c>
      <c r="BO7" s="42">
        <v>2.40272373562</v>
      </c>
      <c r="BP7" s="42">
        <v>2.40272373562</v>
      </c>
      <c r="BQ7" s="42">
        <v>2.40272373562</v>
      </c>
      <c r="BR7" s="42">
        <v>2.40272373562</v>
      </c>
      <c r="BS7" s="42">
        <v>2.40272373562</v>
      </c>
      <c r="BT7" s="42">
        <v>2.40272373562</v>
      </c>
      <c r="BU7" s="42">
        <v>2.40272373562</v>
      </c>
    </row>
    <row r="8" spans="1:73" x14ac:dyDescent="0.2">
      <c r="A8" s="103" t="s">
        <v>554</v>
      </c>
      <c r="B8" s="111" t="s">
        <v>1252</v>
      </c>
      <c r="C8" s="25" t="s">
        <v>75</v>
      </c>
      <c r="D8" s="26"/>
      <c r="E8" s="25">
        <v>100</v>
      </c>
      <c r="F8" s="25">
        <v>10</v>
      </c>
      <c r="G8" s="25">
        <v>0.31</v>
      </c>
      <c r="H8" s="25">
        <v>13140</v>
      </c>
      <c r="I8" s="25">
        <v>30</v>
      </c>
      <c r="J8" s="32">
        <f t="shared" si="0"/>
        <v>108624</v>
      </c>
      <c r="K8" s="26"/>
      <c r="L8" s="25">
        <v>13.62</v>
      </c>
      <c r="M8" s="25">
        <v>0.51249999999999996</v>
      </c>
      <c r="N8" s="26"/>
      <c r="O8" s="104">
        <v>1</v>
      </c>
      <c r="P8" s="42">
        <v>2533.4824904953198</v>
      </c>
      <c r="Q8" s="42">
        <v>2533.4824904953198</v>
      </c>
      <c r="R8" s="42">
        <v>2533.4824904953198</v>
      </c>
      <c r="S8" s="42">
        <v>2533.4824904953198</v>
      </c>
      <c r="T8" s="42">
        <v>2533.4824904953198</v>
      </c>
      <c r="U8" s="42">
        <v>2533.4824904953198</v>
      </c>
      <c r="V8" s="42">
        <v>2533.4824904953198</v>
      </c>
      <c r="W8" s="42">
        <v>2533.4824904953198</v>
      </c>
      <c r="X8" s="42">
        <v>836.02140085177996</v>
      </c>
      <c r="Y8" s="42">
        <v>836.02140085177996</v>
      </c>
      <c r="Z8" s="42">
        <v>836.02140085177996</v>
      </c>
      <c r="AA8" s="42">
        <v>836.02140085177996</v>
      </c>
      <c r="AB8" s="42">
        <v>836.02140085177996</v>
      </c>
      <c r="AC8" s="42">
        <v>836.02140085177996</v>
      </c>
      <c r="AD8" s="42">
        <v>836.02140085177996</v>
      </c>
      <c r="AE8" s="42">
        <v>836.02140085177996</v>
      </c>
      <c r="AF8" s="42">
        <v>836.02140085177996</v>
      </c>
      <c r="AG8" s="42">
        <v>836.02140085177996</v>
      </c>
      <c r="AH8" s="42">
        <v>836.02140085177996</v>
      </c>
      <c r="AI8" s="42">
        <v>836.02140085177996</v>
      </c>
      <c r="AJ8" s="42">
        <v>836.02140085177996</v>
      </c>
      <c r="AK8" s="42">
        <v>836.02140085177996</v>
      </c>
      <c r="AL8" s="42">
        <v>836.02140085177996</v>
      </c>
      <c r="AM8" s="42">
        <v>836.02140085177996</v>
      </c>
      <c r="AN8" s="42">
        <v>836.02140085177996</v>
      </c>
      <c r="AO8" s="42">
        <v>836.02140085177996</v>
      </c>
      <c r="AP8" s="42">
        <v>836.02140085177996</v>
      </c>
      <c r="AQ8" s="42">
        <v>836.02140085177996</v>
      </c>
      <c r="AR8" s="42">
        <v>836.02140085177996</v>
      </c>
      <c r="AS8" s="42">
        <v>1.73151750988</v>
      </c>
      <c r="AT8" s="42">
        <v>1.73151750988</v>
      </c>
      <c r="AU8" s="42">
        <v>1.73151750988</v>
      </c>
      <c r="AV8" s="42">
        <v>1.73151750988</v>
      </c>
      <c r="AW8" s="42">
        <v>1.73151750988</v>
      </c>
      <c r="AX8" s="42">
        <v>1.73151750988</v>
      </c>
      <c r="AY8" s="42">
        <v>1.73151750988</v>
      </c>
      <c r="AZ8" s="42">
        <v>1.73151750988</v>
      </c>
      <c r="BA8" s="42">
        <v>1.73151750988</v>
      </c>
      <c r="BB8" s="42">
        <v>1.73151750988</v>
      </c>
      <c r="BC8" s="42">
        <v>1.73151750988</v>
      </c>
      <c r="BD8" s="42">
        <v>1.73151750988</v>
      </c>
      <c r="BE8" s="42">
        <v>1.73151750988</v>
      </c>
      <c r="BF8" s="42">
        <v>1.73151750988</v>
      </c>
      <c r="BG8" s="42">
        <v>1.73151750988</v>
      </c>
      <c r="BH8" s="42">
        <v>1.73151750988</v>
      </c>
      <c r="BI8" s="42">
        <v>1.73151750988</v>
      </c>
      <c r="BJ8" s="42">
        <v>1.73151750988</v>
      </c>
      <c r="BK8" s="42">
        <v>1.73151750988</v>
      </c>
      <c r="BL8" s="42">
        <v>1.73151750988</v>
      </c>
      <c r="BM8" s="42">
        <v>1.73151750988</v>
      </c>
      <c r="BN8" s="42">
        <v>1.73151750988</v>
      </c>
      <c r="BO8" s="42">
        <v>1.73151750988</v>
      </c>
      <c r="BP8" s="42">
        <v>1.73151750988</v>
      </c>
      <c r="BQ8" s="42">
        <v>1.73151750988</v>
      </c>
      <c r="BR8" s="42">
        <v>1.73151750988</v>
      </c>
      <c r="BS8" s="42">
        <v>1.73151750988</v>
      </c>
      <c r="BT8" s="42">
        <v>1.73151750988</v>
      </c>
      <c r="BU8" s="42">
        <v>1.73151750988</v>
      </c>
    </row>
    <row r="9" spans="1:73" x14ac:dyDescent="0.2">
      <c r="A9" s="103" t="s">
        <v>554</v>
      </c>
      <c r="B9" s="111" t="s">
        <v>1253</v>
      </c>
      <c r="C9" s="25" t="s">
        <v>75</v>
      </c>
      <c r="D9" s="26"/>
      <c r="E9" s="25">
        <v>100</v>
      </c>
      <c r="F9" s="25">
        <v>24</v>
      </c>
      <c r="G9" s="25">
        <v>0.31</v>
      </c>
      <c r="H9" s="25">
        <v>5460</v>
      </c>
      <c r="I9" s="25">
        <v>30</v>
      </c>
      <c r="J9" s="32">
        <f t="shared" si="0"/>
        <v>108326.39999999999</v>
      </c>
      <c r="K9" s="26"/>
      <c r="L9" s="25">
        <v>13.82</v>
      </c>
      <c r="M9" s="25">
        <v>0.51249999999999996</v>
      </c>
      <c r="N9" s="26"/>
      <c r="O9" s="104">
        <v>1</v>
      </c>
      <c r="P9" s="42">
        <v>2533.4824904953198</v>
      </c>
      <c r="Q9" s="42">
        <v>2533.4824904953198</v>
      </c>
      <c r="R9" s="42">
        <v>2533.4824904953198</v>
      </c>
      <c r="S9" s="42">
        <v>2533.4824904953198</v>
      </c>
      <c r="T9" s="42">
        <v>2533.4824904953198</v>
      </c>
      <c r="U9" s="42">
        <v>2533.4824904953198</v>
      </c>
      <c r="V9" s="42">
        <v>2533.4824904953198</v>
      </c>
      <c r="W9" s="42">
        <v>2533.4824904953198</v>
      </c>
      <c r="X9" s="42">
        <v>836.02140085177996</v>
      </c>
      <c r="Y9" s="42">
        <v>836.02140085177996</v>
      </c>
      <c r="Z9" s="42">
        <v>836.02140085177996</v>
      </c>
      <c r="AA9" s="42">
        <v>836.02140085177996</v>
      </c>
      <c r="AB9" s="42">
        <v>836.02140085177996</v>
      </c>
      <c r="AC9" s="42">
        <v>836.02140085177996</v>
      </c>
      <c r="AD9" s="42">
        <v>836.02140085177996</v>
      </c>
      <c r="AE9" s="42">
        <v>836.02140085177996</v>
      </c>
      <c r="AF9" s="42">
        <v>836.02140085177996</v>
      </c>
      <c r="AG9" s="42">
        <v>836.02140085177996</v>
      </c>
      <c r="AH9" s="42">
        <v>836.02140085177996</v>
      </c>
      <c r="AI9" s="42">
        <v>836.02140085177996</v>
      </c>
      <c r="AJ9" s="42">
        <v>836.02140085177996</v>
      </c>
      <c r="AK9" s="42">
        <v>836.02140085177996</v>
      </c>
      <c r="AL9" s="42">
        <v>836.02140085177996</v>
      </c>
      <c r="AM9" s="42">
        <v>836.02140085177996</v>
      </c>
      <c r="AN9" s="42">
        <v>836.02140085177996</v>
      </c>
      <c r="AO9" s="42">
        <v>836.02140085177996</v>
      </c>
      <c r="AP9" s="42">
        <v>836.02140085177996</v>
      </c>
      <c r="AQ9" s="42">
        <v>836.02140085177996</v>
      </c>
      <c r="AR9" s="42">
        <v>836.02140085177996</v>
      </c>
      <c r="AS9" s="42">
        <v>1.6828793775799999</v>
      </c>
      <c r="AT9" s="42">
        <v>1.6828793775799999</v>
      </c>
      <c r="AU9" s="42">
        <v>1.6828793775799999</v>
      </c>
      <c r="AV9" s="42">
        <v>1.6828793775799999</v>
      </c>
      <c r="AW9" s="42">
        <v>1.6828793775799999</v>
      </c>
      <c r="AX9" s="42">
        <v>1.6828793775799999</v>
      </c>
      <c r="AY9" s="42">
        <v>1.6828793775799999</v>
      </c>
      <c r="AZ9" s="42">
        <v>1.6828793775799999</v>
      </c>
      <c r="BA9" s="42">
        <v>1.6828793775799999</v>
      </c>
      <c r="BB9" s="42">
        <v>1.6828793775799999</v>
      </c>
      <c r="BC9" s="42">
        <v>1.6828793775799999</v>
      </c>
      <c r="BD9" s="42">
        <v>1.6828793775799999</v>
      </c>
      <c r="BE9" s="42">
        <v>1.6828793775799999</v>
      </c>
      <c r="BF9" s="42">
        <v>1.6828793775799999</v>
      </c>
      <c r="BG9" s="42">
        <v>1.6828793775799999</v>
      </c>
      <c r="BH9" s="42">
        <v>1.6828793775799999</v>
      </c>
      <c r="BI9" s="42">
        <v>1.6828793775799999</v>
      </c>
      <c r="BJ9" s="42">
        <v>1.6828793775799999</v>
      </c>
      <c r="BK9" s="42">
        <v>1.6828793775799999</v>
      </c>
      <c r="BL9" s="42">
        <v>1.6828793775799999</v>
      </c>
      <c r="BM9" s="42">
        <v>1.6828793775799999</v>
      </c>
      <c r="BN9" s="42">
        <v>1.6828793775799999</v>
      </c>
      <c r="BO9" s="42">
        <v>1.6828793775799999</v>
      </c>
      <c r="BP9" s="42">
        <v>1.6828793775799999</v>
      </c>
      <c r="BQ9" s="42">
        <v>1.6828793775799999</v>
      </c>
      <c r="BR9" s="42">
        <v>1.6828793775799999</v>
      </c>
      <c r="BS9" s="42">
        <v>1.6828793775799999</v>
      </c>
      <c r="BT9" s="42">
        <v>1.6828793775799999</v>
      </c>
      <c r="BU9" s="42">
        <v>1.6828793775799999</v>
      </c>
    </row>
    <row r="10" spans="1:73" x14ac:dyDescent="0.2">
      <c r="A10" s="103" t="s">
        <v>554</v>
      </c>
      <c r="B10" s="111" t="s">
        <v>1254</v>
      </c>
      <c r="C10" s="25" t="s">
        <v>75</v>
      </c>
      <c r="D10" s="26"/>
      <c r="E10" s="25">
        <v>100</v>
      </c>
      <c r="F10" s="25">
        <v>100</v>
      </c>
      <c r="G10" s="25">
        <v>0.31</v>
      </c>
      <c r="H10" s="25">
        <v>1290</v>
      </c>
      <c r="I10" s="25">
        <v>30</v>
      </c>
      <c r="J10" s="32">
        <f t="shared" si="0"/>
        <v>106640</v>
      </c>
      <c r="K10" s="26"/>
      <c r="L10" s="25">
        <v>14.89</v>
      </c>
      <c r="M10" s="25">
        <v>0.51249999999999996</v>
      </c>
      <c r="N10" s="26"/>
      <c r="O10" s="104">
        <v>1</v>
      </c>
      <c r="P10" s="42">
        <v>2533.4824904953189</v>
      </c>
      <c r="Q10" s="42">
        <v>2533.4824904953189</v>
      </c>
      <c r="R10" s="42">
        <v>2533.4824904953189</v>
      </c>
      <c r="S10" s="42">
        <v>2533.4824904953189</v>
      </c>
      <c r="T10" s="42">
        <v>2533.4824904953189</v>
      </c>
      <c r="U10" s="42">
        <v>2533.4824904953189</v>
      </c>
      <c r="V10" s="42">
        <v>2533.4824904953189</v>
      </c>
      <c r="W10" s="42">
        <v>2533.4824904953189</v>
      </c>
      <c r="X10" s="42">
        <v>836.02140085178007</v>
      </c>
      <c r="Y10" s="42">
        <v>836.02140085178007</v>
      </c>
      <c r="Z10" s="42">
        <v>836.02140085178007</v>
      </c>
      <c r="AA10" s="42">
        <v>836.02140085178007</v>
      </c>
      <c r="AB10" s="42">
        <v>836.02140085178007</v>
      </c>
      <c r="AC10" s="42">
        <v>836.02140085178007</v>
      </c>
      <c r="AD10" s="42">
        <v>836.02140085178007</v>
      </c>
      <c r="AE10" s="42">
        <v>836.02140085178007</v>
      </c>
      <c r="AF10" s="42">
        <v>836.02140085178007</v>
      </c>
      <c r="AG10" s="42">
        <v>836.02140085178007</v>
      </c>
      <c r="AH10" s="42">
        <v>836.02140085178007</v>
      </c>
      <c r="AI10" s="42">
        <v>836.02140085178007</v>
      </c>
      <c r="AJ10" s="42">
        <v>836.02140085178007</v>
      </c>
      <c r="AK10" s="42">
        <v>836.02140085178007</v>
      </c>
      <c r="AL10" s="42">
        <v>836.02140085178007</v>
      </c>
      <c r="AM10" s="42">
        <v>836.02140085178007</v>
      </c>
      <c r="AN10" s="42">
        <v>836.02140085178007</v>
      </c>
      <c r="AO10" s="42">
        <v>836.02140085178007</v>
      </c>
      <c r="AP10" s="42">
        <v>836.02140085178007</v>
      </c>
      <c r="AQ10" s="42">
        <v>836.02140085178007</v>
      </c>
      <c r="AR10" s="42">
        <v>836.02140085178007</v>
      </c>
      <c r="AS10" s="42">
        <v>1.6050583659</v>
      </c>
      <c r="AT10" s="42">
        <v>1.6050583659</v>
      </c>
      <c r="AU10" s="42">
        <v>1.6050583659</v>
      </c>
      <c r="AV10" s="42">
        <v>1.6050583659</v>
      </c>
      <c r="AW10" s="42">
        <v>1.6050583659</v>
      </c>
      <c r="AX10" s="42">
        <v>1.6050583659</v>
      </c>
      <c r="AY10" s="42">
        <v>1.6050583659</v>
      </c>
      <c r="AZ10" s="42">
        <v>1.6050583659</v>
      </c>
      <c r="BA10" s="42">
        <v>1.6050583659</v>
      </c>
      <c r="BB10" s="42">
        <v>1.6050583659</v>
      </c>
      <c r="BC10" s="42">
        <v>1.6050583659</v>
      </c>
      <c r="BD10" s="42">
        <v>1.6050583659</v>
      </c>
      <c r="BE10" s="42">
        <v>1.6050583659</v>
      </c>
      <c r="BF10" s="42">
        <v>1.6050583659</v>
      </c>
      <c r="BG10" s="42">
        <v>1.6050583659</v>
      </c>
      <c r="BH10" s="42">
        <v>1.6050583659</v>
      </c>
      <c r="BI10" s="42">
        <v>1.6050583659</v>
      </c>
      <c r="BJ10" s="42">
        <v>1.6050583659</v>
      </c>
      <c r="BK10" s="42">
        <v>1.6050583659</v>
      </c>
      <c r="BL10" s="42">
        <v>1.6050583659</v>
      </c>
      <c r="BM10" s="42">
        <v>1.6050583659</v>
      </c>
      <c r="BN10" s="42">
        <v>1.6050583659</v>
      </c>
      <c r="BO10" s="42">
        <v>1.6050583659</v>
      </c>
      <c r="BP10" s="42">
        <v>1.6050583659</v>
      </c>
      <c r="BQ10" s="42">
        <v>1.6050583659</v>
      </c>
      <c r="BR10" s="42">
        <v>1.6050583659</v>
      </c>
      <c r="BS10" s="42">
        <v>1.6050583659</v>
      </c>
      <c r="BT10" s="42">
        <v>1.6050583659</v>
      </c>
      <c r="BU10" s="42">
        <v>1.6050583659</v>
      </c>
    </row>
    <row r="11" spans="1:73" x14ac:dyDescent="0.2">
      <c r="A11" s="103" t="s">
        <v>554</v>
      </c>
      <c r="B11" s="111" t="s">
        <v>1288</v>
      </c>
      <c r="C11" s="25" t="s">
        <v>75</v>
      </c>
      <c r="D11" s="26"/>
      <c r="E11" s="25">
        <v>1000</v>
      </c>
      <c r="F11" s="25">
        <v>10</v>
      </c>
      <c r="G11" s="25">
        <v>0.8</v>
      </c>
      <c r="H11" s="25">
        <v>26280</v>
      </c>
      <c r="I11" s="25">
        <v>60</v>
      </c>
      <c r="J11" s="32">
        <f t="shared" si="0"/>
        <v>2803200</v>
      </c>
      <c r="K11" s="26"/>
      <c r="L11" s="25">
        <v>24.49</v>
      </c>
      <c r="M11" s="25">
        <v>0.51249999999999996</v>
      </c>
      <c r="N11" s="26"/>
      <c r="O11" s="104">
        <v>1</v>
      </c>
      <c r="P11" s="42">
        <v>2117.3929962952802</v>
      </c>
      <c r="Q11" s="42">
        <v>2117.3929962952802</v>
      </c>
      <c r="R11" s="42">
        <v>2117.3929962952802</v>
      </c>
      <c r="S11" s="42">
        <v>2117.3929962952802</v>
      </c>
      <c r="T11" s="42">
        <v>2117.3929962952802</v>
      </c>
      <c r="U11" s="42">
        <v>2117.3929962952802</v>
      </c>
      <c r="V11" s="42">
        <v>2117.3929962952802</v>
      </c>
      <c r="W11" s="42">
        <v>2117.3929962952802</v>
      </c>
      <c r="X11" s="42">
        <v>2117.3929962952802</v>
      </c>
      <c r="Y11" s="42">
        <v>2117.3929962952802</v>
      </c>
      <c r="Z11" s="42">
        <v>2117.3929962952802</v>
      </c>
      <c r="AA11" s="42">
        <v>2117.3929962952802</v>
      </c>
      <c r="AB11" s="42">
        <v>2117.3929962952802</v>
      </c>
      <c r="AC11" s="42">
        <v>2117.3929962952802</v>
      </c>
      <c r="AD11" s="42">
        <v>2117.3929962952802</v>
      </c>
      <c r="AE11" s="42">
        <v>2117.3929962952802</v>
      </c>
      <c r="AF11" s="42">
        <v>2117.3929962952802</v>
      </c>
      <c r="AG11" s="42">
        <v>2117.3929962952802</v>
      </c>
      <c r="AH11" s="42">
        <v>2117.3929962952802</v>
      </c>
      <c r="AI11" s="42">
        <v>2117.3929962952802</v>
      </c>
      <c r="AJ11" s="42">
        <v>2117.3929962952802</v>
      </c>
      <c r="AK11" s="42">
        <v>2117.3929962952802</v>
      </c>
      <c r="AL11" s="42">
        <v>2117.3929962952802</v>
      </c>
      <c r="AM11" s="42">
        <v>2117.3929962952802</v>
      </c>
      <c r="AN11" s="42">
        <v>2117.3929962952802</v>
      </c>
      <c r="AO11" s="42">
        <v>2117.3929962952802</v>
      </c>
      <c r="AP11" s="42">
        <v>2117.3929962952802</v>
      </c>
      <c r="AQ11" s="42">
        <v>2117.3929962952802</v>
      </c>
      <c r="AR11" s="42">
        <v>2117.3929962952802</v>
      </c>
      <c r="AS11" s="42">
        <v>32.247081714899998</v>
      </c>
      <c r="AT11" s="42">
        <v>32.247081714899998</v>
      </c>
      <c r="AU11" s="42">
        <v>32.247081714899998</v>
      </c>
      <c r="AV11" s="42">
        <v>32.247081714899998</v>
      </c>
      <c r="AW11" s="42">
        <v>32.247081714899998</v>
      </c>
      <c r="AX11" s="42">
        <v>32.247081714899998</v>
      </c>
      <c r="AY11" s="42">
        <v>32.247081714899998</v>
      </c>
      <c r="AZ11" s="42">
        <v>32.247081714899998</v>
      </c>
      <c r="BA11" s="42">
        <v>32.247081714899998</v>
      </c>
      <c r="BB11" s="42">
        <v>32.247081714899998</v>
      </c>
      <c r="BC11" s="42">
        <v>32.247081714899998</v>
      </c>
      <c r="BD11" s="42">
        <v>32.247081714899998</v>
      </c>
      <c r="BE11" s="42">
        <v>32.247081714899998</v>
      </c>
      <c r="BF11" s="42">
        <v>32.247081714899998</v>
      </c>
      <c r="BG11" s="42">
        <v>32.247081714899998</v>
      </c>
      <c r="BH11" s="42">
        <v>32.247081714899998</v>
      </c>
      <c r="BI11" s="42">
        <v>32.247081714899998</v>
      </c>
      <c r="BJ11" s="42">
        <v>32.247081714899998</v>
      </c>
      <c r="BK11" s="42">
        <v>32.247081714899998</v>
      </c>
      <c r="BL11" s="42">
        <v>32.247081714899998</v>
      </c>
      <c r="BM11" s="42">
        <v>32.247081714899998</v>
      </c>
      <c r="BN11" s="42">
        <v>32.247081714899998</v>
      </c>
      <c r="BO11" s="42">
        <v>32.247081714899998</v>
      </c>
      <c r="BP11" s="42">
        <v>32.247081714899998</v>
      </c>
      <c r="BQ11" s="42">
        <v>32.247081714899998</v>
      </c>
      <c r="BR11" s="42">
        <v>32.247081714899998</v>
      </c>
      <c r="BS11" s="42">
        <v>32.247081714899998</v>
      </c>
      <c r="BT11" s="42">
        <v>32.247081714899998</v>
      </c>
      <c r="BU11" s="42">
        <v>32.247081714899998</v>
      </c>
    </row>
    <row r="12" spans="1:73" x14ac:dyDescent="0.2">
      <c r="A12" s="103" t="s">
        <v>554</v>
      </c>
      <c r="B12" s="111" t="s">
        <v>1289</v>
      </c>
      <c r="C12" s="25" t="s">
        <v>75</v>
      </c>
      <c r="D12" s="26"/>
      <c r="E12" s="25">
        <v>1000</v>
      </c>
      <c r="F12" s="25">
        <v>24</v>
      </c>
      <c r="G12" s="25">
        <v>0.8</v>
      </c>
      <c r="H12" s="25">
        <v>10920</v>
      </c>
      <c r="I12" s="25">
        <v>60</v>
      </c>
      <c r="J12" s="32">
        <f t="shared" si="0"/>
        <v>2795520</v>
      </c>
      <c r="K12" s="26"/>
      <c r="L12" s="25">
        <v>24.49</v>
      </c>
      <c r="M12" s="25">
        <v>0.51249999999999996</v>
      </c>
      <c r="N12" s="26"/>
      <c r="O12" s="104">
        <v>1</v>
      </c>
      <c r="P12" s="42">
        <v>2164.8054476613202</v>
      </c>
      <c r="Q12" s="42">
        <v>2164.8054476613202</v>
      </c>
      <c r="R12" s="42">
        <v>2164.8054476613202</v>
      </c>
      <c r="S12" s="42">
        <v>2164.8054476613202</v>
      </c>
      <c r="T12" s="42">
        <v>2164.8054476613202</v>
      </c>
      <c r="U12" s="42">
        <v>2164.8054476613202</v>
      </c>
      <c r="V12" s="42">
        <v>2164.8054476613202</v>
      </c>
      <c r="W12" s="42">
        <v>2164.8054476613202</v>
      </c>
      <c r="X12" s="42">
        <v>2164.8054476613202</v>
      </c>
      <c r="Y12" s="42">
        <v>2164.8054476613202</v>
      </c>
      <c r="Z12" s="42">
        <v>2164.8054476613202</v>
      </c>
      <c r="AA12" s="42">
        <v>2164.8054476613202</v>
      </c>
      <c r="AB12" s="42">
        <v>2164.8054476613202</v>
      </c>
      <c r="AC12" s="42">
        <v>2164.8054476613202</v>
      </c>
      <c r="AD12" s="42">
        <v>2164.8054476613202</v>
      </c>
      <c r="AE12" s="42">
        <v>2164.8054476613202</v>
      </c>
      <c r="AF12" s="42">
        <v>2164.8054476613202</v>
      </c>
      <c r="AG12" s="42">
        <v>2164.8054476613202</v>
      </c>
      <c r="AH12" s="42">
        <v>2164.8054476613202</v>
      </c>
      <c r="AI12" s="42">
        <v>2164.8054476613202</v>
      </c>
      <c r="AJ12" s="42">
        <v>2164.8054476613202</v>
      </c>
      <c r="AK12" s="42">
        <v>2164.8054476613202</v>
      </c>
      <c r="AL12" s="42">
        <v>2164.8054476613202</v>
      </c>
      <c r="AM12" s="42">
        <v>2164.8054476613202</v>
      </c>
      <c r="AN12" s="42">
        <v>2164.8054476613202</v>
      </c>
      <c r="AO12" s="42">
        <v>2164.8054476613202</v>
      </c>
      <c r="AP12" s="42">
        <v>2164.8054476613202</v>
      </c>
      <c r="AQ12" s="42">
        <v>2164.8054476613202</v>
      </c>
      <c r="AR12" s="42">
        <v>2164.8054476613202</v>
      </c>
      <c r="AS12" s="42">
        <v>17.422178989860001</v>
      </c>
      <c r="AT12" s="42">
        <v>17.422178989860001</v>
      </c>
      <c r="AU12" s="42">
        <v>17.422178989860001</v>
      </c>
      <c r="AV12" s="42">
        <v>17.422178989860001</v>
      </c>
      <c r="AW12" s="42">
        <v>17.422178989860001</v>
      </c>
      <c r="AX12" s="42">
        <v>17.422178989860001</v>
      </c>
      <c r="AY12" s="42">
        <v>17.422178989860001</v>
      </c>
      <c r="AZ12" s="42">
        <v>17.422178989860001</v>
      </c>
      <c r="BA12" s="42">
        <v>17.422178989860001</v>
      </c>
      <c r="BB12" s="42">
        <v>17.422178989860001</v>
      </c>
      <c r="BC12" s="42">
        <v>17.422178989860001</v>
      </c>
      <c r="BD12" s="42">
        <v>17.422178989860001</v>
      </c>
      <c r="BE12" s="42">
        <v>17.422178989860001</v>
      </c>
      <c r="BF12" s="42">
        <v>17.422178989860001</v>
      </c>
      <c r="BG12" s="42">
        <v>17.422178989860001</v>
      </c>
      <c r="BH12" s="42">
        <v>17.422178989860001</v>
      </c>
      <c r="BI12" s="42">
        <v>17.422178989860001</v>
      </c>
      <c r="BJ12" s="42">
        <v>17.422178989860001</v>
      </c>
      <c r="BK12" s="42">
        <v>17.422178989860001</v>
      </c>
      <c r="BL12" s="42">
        <v>17.422178989860001</v>
      </c>
      <c r="BM12" s="42">
        <v>17.422178989860001</v>
      </c>
      <c r="BN12" s="42">
        <v>17.422178989860001</v>
      </c>
      <c r="BO12" s="42">
        <v>17.422178989860001</v>
      </c>
      <c r="BP12" s="42">
        <v>17.422178989860001</v>
      </c>
      <c r="BQ12" s="42">
        <v>17.422178989860001</v>
      </c>
      <c r="BR12" s="42">
        <v>17.422178989860001</v>
      </c>
      <c r="BS12" s="42">
        <v>17.422178989860001</v>
      </c>
      <c r="BT12" s="42">
        <v>17.422178989860001</v>
      </c>
      <c r="BU12" s="42">
        <v>17.422178989860001</v>
      </c>
    </row>
    <row r="13" spans="1:73" x14ac:dyDescent="0.2">
      <c r="A13" s="103" t="s">
        <v>554</v>
      </c>
      <c r="B13" s="111" t="s">
        <v>1290</v>
      </c>
      <c r="C13" s="25" t="s">
        <v>75</v>
      </c>
      <c r="D13" s="26"/>
      <c r="E13" s="25">
        <v>1000</v>
      </c>
      <c r="F13" s="25">
        <v>100</v>
      </c>
      <c r="G13" s="25">
        <v>0.8</v>
      </c>
      <c r="H13" s="25">
        <v>2580</v>
      </c>
      <c r="I13" s="25">
        <v>60</v>
      </c>
      <c r="J13" s="32">
        <f t="shared" si="0"/>
        <v>2752000</v>
      </c>
      <c r="K13" s="26"/>
      <c r="L13" s="25">
        <v>24.49</v>
      </c>
      <c r="M13" s="25">
        <v>0.51249999999999996</v>
      </c>
      <c r="N13" s="26"/>
      <c r="O13" s="104">
        <v>1</v>
      </c>
      <c r="P13" s="42">
        <v>2299.88326868488</v>
      </c>
      <c r="Q13" s="42">
        <v>2299.88326868488</v>
      </c>
      <c r="R13" s="42">
        <v>2299.88326868488</v>
      </c>
      <c r="S13" s="42">
        <v>2299.88326868488</v>
      </c>
      <c r="T13" s="42">
        <v>2299.88326868488</v>
      </c>
      <c r="U13" s="42">
        <v>2299.88326868488</v>
      </c>
      <c r="V13" s="42">
        <v>2299.88326868488</v>
      </c>
      <c r="W13" s="42">
        <v>2299.88326868488</v>
      </c>
      <c r="X13" s="42">
        <v>2299.88326868488</v>
      </c>
      <c r="Y13" s="42">
        <v>2299.88326868488</v>
      </c>
      <c r="Z13" s="42">
        <v>2299.88326868488</v>
      </c>
      <c r="AA13" s="42">
        <v>2299.88326868488</v>
      </c>
      <c r="AB13" s="42">
        <v>2299.88326868488</v>
      </c>
      <c r="AC13" s="42">
        <v>2299.88326868488</v>
      </c>
      <c r="AD13" s="42">
        <v>2299.88326868488</v>
      </c>
      <c r="AE13" s="42">
        <v>2299.88326868488</v>
      </c>
      <c r="AF13" s="42">
        <v>2299.88326868488</v>
      </c>
      <c r="AG13" s="42">
        <v>2299.88326868488</v>
      </c>
      <c r="AH13" s="42">
        <v>2299.88326868488</v>
      </c>
      <c r="AI13" s="42">
        <v>2299.88326868488</v>
      </c>
      <c r="AJ13" s="42">
        <v>2299.88326868488</v>
      </c>
      <c r="AK13" s="42">
        <v>2299.88326868488</v>
      </c>
      <c r="AL13" s="42">
        <v>2299.88326868488</v>
      </c>
      <c r="AM13" s="42">
        <v>2299.88326868488</v>
      </c>
      <c r="AN13" s="42">
        <v>2299.88326868488</v>
      </c>
      <c r="AO13" s="42">
        <v>2299.88326868488</v>
      </c>
      <c r="AP13" s="42">
        <v>2299.88326868488</v>
      </c>
      <c r="AQ13" s="42">
        <v>2299.88326868488</v>
      </c>
      <c r="AR13" s="42">
        <v>2299.88326868488</v>
      </c>
      <c r="AS13" s="42">
        <v>6.9066147865999996</v>
      </c>
      <c r="AT13" s="42">
        <v>6.9066147865999996</v>
      </c>
      <c r="AU13" s="42">
        <v>6.9066147865999996</v>
      </c>
      <c r="AV13" s="42">
        <v>6.9066147865999996</v>
      </c>
      <c r="AW13" s="42">
        <v>6.9066147865999996</v>
      </c>
      <c r="AX13" s="42">
        <v>6.9066147865999996</v>
      </c>
      <c r="AY13" s="42">
        <v>6.9066147865999996</v>
      </c>
      <c r="AZ13" s="42">
        <v>6.9066147865999996</v>
      </c>
      <c r="BA13" s="42">
        <v>6.9066147865999996</v>
      </c>
      <c r="BB13" s="42">
        <v>6.9066147865999996</v>
      </c>
      <c r="BC13" s="42">
        <v>6.9066147865999996</v>
      </c>
      <c r="BD13" s="42">
        <v>6.9066147865999996</v>
      </c>
      <c r="BE13" s="42">
        <v>6.9066147865999996</v>
      </c>
      <c r="BF13" s="42">
        <v>6.9066147865999996</v>
      </c>
      <c r="BG13" s="42">
        <v>6.9066147865999996</v>
      </c>
      <c r="BH13" s="42">
        <v>6.9066147865999996</v>
      </c>
      <c r="BI13" s="42">
        <v>6.9066147865999996</v>
      </c>
      <c r="BJ13" s="42">
        <v>6.9066147865999996</v>
      </c>
      <c r="BK13" s="42">
        <v>6.9066147865999996</v>
      </c>
      <c r="BL13" s="42">
        <v>6.9066147865999996</v>
      </c>
      <c r="BM13" s="42">
        <v>6.9066147865999996</v>
      </c>
      <c r="BN13" s="42">
        <v>6.9066147865999996</v>
      </c>
      <c r="BO13" s="42">
        <v>6.9066147865999996</v>
      </c>
      <c r="BP13" s="42">
        <v>6.9066147865999996</v>
      </c>
      <c r="BQ13" s="42">
        <v>6.9066147865999996</v>
      </c>
      <c r="BR13" s="42">
        <v>6.9066147865999996</v>
      </c>
      <c r="BS13" s="42">
        <v>6.9066147865999996</v>
      </c>
      <c r="BT13" s="42">
        <v>6.9066147865999996</v>
      </c>
      <c r="BU13" s="42">
        <v>6.9066147865999996</v>
      </c>
    </row>
    <row r="14" spans="1:73" x14ac:dyDescent="0.2">
      <c r="A14" s="103" t="s">
        <v>554</v>
      </c>
      <c r="B14" s="111" t="s">
        <v>1255</v>
      </c>
      <c r="C14" s="25" t="s">
        <v>75</v>
      </c>
      <c r="D14" s="26"/>
      <c r="E14" s="25">
        <v>100</v>
      </c>
      <c r="F14" s="25">
        <v>10</v>
      </c>
      <c r="G14" s="25">
        <v>0.54</v>
      </c>
      <c r="H14" s="25">
        <v>17520</v>
      </c>
      <c r="I14" s="25">
        <v>40</v>
      </c>
      <c r="J14" s="32">
        <f t="shared" si="0"/>
        <v>189216</v>
      </c>
      <c r="K14" s="26"/>
      <c r="L14" s="25">
        <v>19.82</v>
      </c>
      <c r="M14" s="25">
        <v>0</v>
      </c>
      <c r="N14" s="26"/>
      <c r="O14" s="104">
        <v>1</v>
      </c>
      <c r="P14" s="42">
        <v>1039.72762655064</v>
      </c>
      <c r="Q14" s="42">
        <v>1039.72762655064</v>
      </c>
      <c r="R14" s="42">
        <v>1039.72762655064</v>
      </c>
      <c r="S14" s="42">
        <v>1039.72762655064</v>
      </c>
      <c r="T14" s="42">
        <v>1039.72762655064</v>
      </c>
      <c r="U14" s="42">
        <v>1039.72762655064</v>
      </c>
      <c r="V14" s="42">
        <v>1039.72762655064</v>
      </c>
      <c r="W14" s="42">
        <v>1039.72762655064</v>
      </c>
      <c r="X14" s="42">
        <v>1039.72762655064</v>
      </c>
      <c r="Y14" s="42">
        <v>1039.72762655064</v>
      </c>
      <c r="Z14" s="42">
        <v>1039.72762655064</v>
      </c>
      <c r="AA14" s="42">
        <v>1039.72762655064</v>
      </c>
      <c r="AB14" s="42">
        <v>1039.72762655064</v>
      </c>
      <c r="AC14" s="42">
        <v>1039.72762655064</v>
      </c>
      <c r="AD14" s="42">
        <v>1039.72762655064</v>
      </c>
      <c r="AE14" s="42">
        <v>1039.72762655064</v>
      </c>
      <c r="AF14" s="42">
        <v>1039.72762655064</v>
      </c>
      <c r="AG14" s="42">
        <v>1039.72762655064</v>
      </c>
      <c r="AH14" s="42">
        <v>1039.72762655064</v>
      </c>
      <c r="AI14" s="42">
        <v>1039.72762655064</v>
      </c>
      <c r="AJ14" s="42">
        <v>1039.72762655064</v>
      </c>
      <c r="AK14" s="42">
        <v>1039.72762655064</v>
      </c>
      <c r="AL14" s="42">
        <v>1039.72762655064</v>
      </c>
      <c r="AM14" s="42">
        <v>1039.72762655064</v>
      </c>
      <c r="AN14" s="42">
        <v>1039.72762655064</v>
      </c>
      <c r="AO14" s="42">
        <v>1039.72762655064</v>
      </c>
      <c r="AP14" s="42">
        <v>1039.72762655064</v>
      </c>
      <c r="AQ14" s="42">
        <v>1039.72762655064</v>
      </c>
      <c r="AR14" s="42">
        <v>1039.72762655064</v>
      </c>
      <c r="AS14" s="42">
        <v>51.634241249680002</v>
      </c>
      <c r="AT14" s="42">
        <v>51.634241249680002</v>
      </c>
      <c r="AU14" s="42">
        <v>51.634241249680002</v>
      </c>
      <c r="AV14" s="42">
        <v>51.634241249680002</v>
      </c>
      <c r="AW14" s="42">
        <v>51.634241249680002</v>
      </c>
      <c r="AX14" s="42">
        <v>51.634241249680002</v>
      </c>
      <c r="AY14" s="42">
        <v>51.634241249680002</v>
      </c>
      <c r="AZ14" s="42">
        <v>51.634241249680002</v>
      </c>
      <c r="BA14" s="42">
        <v>51.634241249680002</v>
      </c>
      <c r="BB14" s="42">
        <v>51.634241249680002</v>
      </c>
      <c r="BC14" s="42">
        <v>51.634241249680002</v>
      </c>
      <c r="BD14" s="42">
        <v>51.634241249680002</v>
      </c>
      <c r="BE14" s="42">
        <v>51.634241249680002</v>
      </c>
      <c r="BF14" s="42">
        <v>51.634241249680002</v>
      </c>
      <c r="BG14" s="42">
        <v>51.634241249680002</v>
      </c>
      <c r="BH14" s="42">
        <v>51.634241249680002</v>
      </c>
      <c r="BI14" s="42">
        <v>51.634241249680002</v>
      </c>
      <c r="BJ14" s="42">
        <v>51.634241249680002</v>
      </c>
      <c r="BK14" s="42">
        <v>51.634241249680002</v>
      </c>
      <c r="BL14" s="42">
        <v>51.634241249680002</v>
      </c>
      <c r="BM14" s="42">
        <v>51.634241249680002</v>
      </c>
      <c r="BN14" s="42">
        <v>51.634241249680002</v>
      </c>
      <c r="BO14" s="42">
        <v>51.634241249680002</v>
      </c>
      <c r="BP14" s="42">
        <v>51.634241249680002</v>
      </c>
      <c r="BQ14" s="42">
        <v>51.634241249680002</v>
      </c>
      <c r="BR14" s="42">
        <v>51.634241249680002</v>
      </c>
      <c r="BS14" s="42">
        <v>51.634241249680002</v>
      </c>
      <c r="BT14" s="42">
        <v>51.634241249680002</v>
      </c>
      <c r="BU14" s="42">
        <v>51.634241249680002</v>
      </c>
    </row>
    <row r="15" spans="1:73" x14ac:dyDescent="0.2">
      <c r="A15" s="103" t="s">
        <v>554</v>
      </c>
      <c r="B15" s="111" t="s">
        <v>1256</v>
      </c>
      <c r="C15" s="25" t="s">
        <v>75</v>
      </c>
      <c r="D15" s="26"/>
      <c r="E15" s="25">
        <v>100</v>
      </c>
      <c r="F15" s="25">
        <v>24</v>
      </c>
      <c r="G15" s="25">
        <v>0.53</v>
      </c>
      <c r="H15" s="25">
        <v>7280</v>
      </c>
      <c r="I15" s="25">
        <v>40</v>
      </c>
      <c r="J15" s="32">
        <f t="shared" si="0"/>
        <v>185203.20000000001</v>
      </c>
      <c r="K15" s="26"/>
      <c r="L15" s="25">
        <v>21.94</v>
      </c>
      <c r="M15" s="25">
        <v>0</v>
      </c>
      <c r="N15" s="26"/>
      <c r="O15" s="104">
        <v>1</v>
      </c>
      <c r="P15" s="42">
        <v>1039.72762655064</v>
      </c>
      <c r="Q15" s="42">
        <v>1039.72762655064</v>
      </c>
      <c r="R15" s="42">
        <v>1039.72762655064</v>
      </c>
      <c r="S15" s="42">
        <v>1039.72762655064</v>
      </c>
      <c r="T15" s="42">
        <v>1039.72762655064</v>
      </c>
      <c r="U15" s="42">
        <v>1039.72762655064</v>
      </c>
      <c r="V15" s="42">
        <v>1039.72762655064</v>
      </c>
      <c r="W15" s="42">
        <v>1039.72762655064</v>
      </c>
      <c r="X15" s="42">
        <v>1039.72762655064</v>
      </c>
      <c r="Y15" s="42">
        <v>1039.72762655064</v>
      </c>
      <c r="Z15" s="42">
        <v>1039.72762655064</v>
      </c>
      <c r="AA15" s="42">
        <v>1039.72762655064</v>
      </c>
      <c r="AB15" s="42">
        <v>1039.72762655064</v>
      </c>
      <c r="AC15" s="42">
        <v>1039.72762655064</v>
      </c>
      <c r="AD15" s="42">
        <v>1039.72762655064</v>
      </c>
      <c r="AE15" s="42">
        <v>1039.72762655064</v>
      </c>
      <c r="AF15" s="42">
        <v>1039.72762655064</v>
      </c>
      <c r="AG15" s="42">
        <v>1039.72762655064</v>
      </c>
      <c r="AH15" s="42">
        <v>1039.72762655064</v>
      </c>
      <c r="AI15" s="42">
        <v>1039.72762655064</v>
      </c>
      <c r="AJ15" s="42">
        <v>1039.72762655064</v>
      </c>
      <c r="AK15" s="42">
        <v>1039.72762655064</v>
      </c>
      <c r="AL15" s="42">
        <v>1039.72762655064</v>
      </c>
      <c r="AM15" s="42">
        <v>1039.72762655064</v>
      </c>
      <c r="AN15" s="42">
        <v>1039.72762655064</v>
      </c>
      <c r="AO15" s="42">
        <v>1039.72762655064</v>
      </c>
      <c r="AP15" s="42">
        <v>1039.72762655064</v>
      </c>
      <c r="AQ15" s="42">
        <v>1039.72762655064</v>
      </c>
      <c r="AR15" s="42">
        <v>1039.72762655064</v>
      </c>
      <c r="AS15" s="42">
        <v>29.066147862480001</v>
      </c>
      <c r="AT15" s="42">
        <v>29.066147862480001</v>
      </c>
      <c r="AU15" s="42">
        <v>29.066147862480001</v>
      </c>
      <c r="AV15" s="42">
        <v>29.066147862480001</v>
      </c>
      <c r="AW15" s="42">
        <v>29.066147862480001</v>
      </c>
      <c r="AX15" s="42">
        <v>29.066147862480001</v>
      </c>
      <c r="AY15" s="42">
        <v>29.066147862480001</v>
      </c>
      <c r="AZ15" s="42">
        <v>29.066147862480001</v>
      </c>
      <c r="BA15" s="42">
        <v>30.038910508480001</v>
      </c>
      <c r="BB15" s="42">
        <v>30.038910508480001</v>
      </c>
      <c r="BC15" s="42">
        <v>30.038910508480001</v>
      </c>
      <c r="BD15" s="42">
        <v>30.038910508480001</v>
      </c>
      <c r="BE15" s="42">
        <v>30.038910508480001</v>
      </c>
      <c r="BF15" s="42">
        <v>30.038910508480001</v>
      </c>
      <c r="BG15" s="42">
        <v>30.038910508480001</v>
      </c>
      <c r="BH15" s="42">
        <v>30.038910508480001</v>
      </c>
      <c r="BI15" s="42">
        <v>30.038910508480001</v>
      </c>
      <c r="BJ15" s="42">
        <v>30.038910508480001</v>
      </c>
      <c r="BK15" s="42">
        <v>30.038910508480001</v>
      </c>
      <c r="BL15" s="42">
        <v>30.038910508480001</v>
      </c>
      <c r="BM15" s="42">
        <v>30.038910508480001</v>
      </c>
      <c r="BN15" s="42">
        <v>30.038910508480001</v>
      </c>
      <c r="BO15" s="42">
        <v>30.038910508480001</v>
      </c>
      <c r="BP15" s="42">
        <v>30.038910508480001</v>
      </c>
      <c r="BQ15" s="42">
        <v>30.038910508480001</v>
      </c>
      <c r="BR15" s="42">
        <v>30.038910508480001</v>
      </c>
      <c r="BS15" s="42">
        <v>30.038910508480001</v>
      </c>
      <c r="BT15" s="42">
        <v>30.038910508480001</v>
      </c>
      <c r="BU15" s="42">
        <v>30.038910508480001</v>
      </c>
    </row>
    <row r="16" spans="1:73" x14ac:dyDescent="0.2">
      <c r="A16" s="103" t="s">
        <v>554</v>
      </c>
      <c r="B16" s="111" t="s">
        <v>1257</v>
      </c>
      <c r="C16" s="25" t="s">
        <v>75</v>
      </c>
      <c r="D16" s="26"/>
      <c r="E16" s="25">
        <v>100</v>
      </c>
      <c r="F16" s="25">
        <v>100</v>
      </c>
      <c r="G16" s="25">
        <v>0.53</v>
      </c>
      <c r="H16" s="25">
        <v>1720</v>
      </c>
      <c r="I16" s="25">
        <v>40</v>
      </c>
      <c r="J16" s="32">
        <f t="shared" si="0"/>
        <v>182320</v>
      </c>
      <c r="K16" s="26"/>
      <c r="L16" s="25">
        <v>33.46</v>
      </c>
      <c r="M16" s="25">
        <v>0</v>
      </c>
      <c r="N16" s="26"/>
      <c r="O16" s="104">
        <v>1</v>
      </c>
      <c r="P16" s="42">
        <v>1039.72762655064</v>
      </c>
      <c r="Q16" s="42">
        <v>1039.72762655064</v>
      </c>
      <c r="R16" s="42">
        <v>1039.72762655064</v>
      </c>
      <c r="S16" s="42">
        <v>1039.72762655064</v>
      </c>
      <c r="T16" s="42">
        <v>1039.72762655064</v>
      </c>
      <c r="U16" s="42">
        <v>1039.72762655064</v>
      </c>
      <c r="V16" s="42">
        <v>1039.72762655064</v>
      </c>
      <c r="W16" s="42">
        <v>1039.72762655064</v>
      </c>
      <c r="X16" s="42">
        <v>1039.72762655064</v>
      </c>
      <c r="Y16" s="42">
        <v>1039.72762655064</v>
      </c>
      <c r="Z16" s="42">
        <v>1039.72762655064</v>
      </c>
      <c r="AA16" s="42">
        <v>1039.72762655064</v>
      </c>
      <c r="AB16" s="42">
        <v>1039.72762655064</v>
      </c>
      <c r="AC16" s="42">
        <v>1039.72762655064</v>
      </c>
      <c r="AD16" s="42">
        <v>1039.72762655064</v>
      </c>
      <c r="AE16" s="42">
        <v>1039.72762655064</v>
      </c>
      <c r="AF16" s="42">
        <v>1039.72762655064</v>
      </c>
      <c r="AG16" s="42">
        <v>1039.72762655064</v>
      </c>
      <c r="AH16" s="42">
        <v>1039.72762655064</v>
      </c>
      <c r="AI16" s="42">
        <v>1039.72762655064</v>
      </c>
      <c r="AJ16" s="42">
        <v>1039.72762655064</v>
      </c>
      <c r="AK16" s="42">
        <v>1039.72762655064</v>
      </c>
      <c r="AL16" s="42">
        <v>1039.72762655064</v>
      </c>
      <c r="AM16" s="42">
        <v>1039.72762655064</v>
      </c>
      <c r="AN16" s="42">
        <v>1039.72762655064</v>
      </c>
      <c r="AO16" s="42">
        <v>1039.72762655064</v>
      </c>
      <c r="AP16" s="42">
        <v>1039.72762655064</v>
      </c>
      <c r="AQ16" s="42">
        <v>1039.72762655064</v>
      </c>
      <c r="AR16" s="42">
        <v>1039.72762655064</v>
      </c>
      <c r="AS16" s="42">
        <v>11.73151751076</v>
      </c>
      <c r="AT16" s="42">
        <v>11.73151751076</v>
      </c>
      <c r="AU16" s="42">
        <v>11.73151751076</v>
      </c>
      <c r="AV16" s="42">
        <v>11.73151751076</v>
      </c>
      <c r="AW16" s="42">
        <v>11.73151751076</v>
      </c>
      <c r="AX16" s="42">
        <v>11.73151751076</v>
      </c>
      <c r="AY16" s="42">
        <v>11.73151751076</v>
      </c>
      <c r="AZ16" s="42">
        <v>11.73151751076</v>
      </c>
      <c r="BA16" s="42">
        <v>17.305447472339999</v>
      </c>
      <c r="BB16" s="42">
        <v>17.305447472339999</v>
      </c>
      <c r="BC16" s="42">
        <v>17.305447472339999</v>
      </c>
      <c r="BD16" s="42">
        <v>17.305447472339999</v>
      </c>
      <c r="BE16" s="42">
        <v>17.305447472339999</v>
      </c>
      <c r="BF16" s="42">
        <v>17.305447472339999</v>
      </c>
      <c r="BG16" s="42">
        <v>17.305447472339999</v>
      </c>
      <c r="BH16" s="42">
        <v>17.305447472339999</v>
      </c>
      <c r="BI16" s="42">
        <v>17.305447472339999</v>
      </c>
      <c r="BJ16" s="42">
        <v>17.305447472339999</v>
      </c>
      <c r="BK16" s="42">
        <v>17.305447472339999</v>
      </c>
      <c r="BL16" s="42">
        <v>17.305447472339999</v>
      </c>
      <c r="BM16" s="42">
        <v>17.305447472339999</v>
      </c>
      <c r="BN16" s="42">
        <v>17.305447472339999</v>
      </c>
      <c r="BO16" s="42">
        <v>17.305447472339999</v>
      </c>
      <c r="BP16" s="42">
        <v>17.305447472339999</v>
      </c>
      <c r="BQ16" s="42">
        <v>17.305447472339999</v>
      </c>
      <c r="BR16" s="42">
        <v>17.305447472339999</v>
      </c>
      <c r="BS16" s="42">
        <v>17.305447472339999</v>
      </c>
      <c r="BT16" s="42">
        <v>17.305447472339999</v>
      </c>
      <c r="BU16" s="42">
        <v>17.305447472339999</v>
      </c>
    </row>
    <row r="17" spans="1:73" x14ac:dyDescent="0.2">
      <c r="A17" s="103" t="s">
        <v>554</v>
      </c>
      <c r="B17" s="111" t="s">
        <v>1258</v>
      </c>
      <c r="C17" s="25" t="s">
        <v>75</v>
      </c>
      <c r="D17" s="26"/>
      <c r="E17" s="25">
        <v>100</v>
      </c>
      <c r="F17" s="25">
        <v>2</v>
      </c>
      <c r="G17" s="25">
        <v>0.85</v>
      </c>
      <c r="H17" s="25">
        <v>5005</v>
      </c>
      <c r="I17" s="25">
        <v>16</v>
      </c>
      <c r="J17" s="32">
        <f t="shared" si="0"/>
        <v>42542.5</v>
      </c>
      <c r="K17" s="26"/>
      <c r="L17" s="25">
        <v>1.95</v>
      </c>
      <c r="M17" s="25">
        <v>0.51249999999999996</v>
      </c>
      <c r="N17" s="26"/>
      <c r="O17" s="104">
        <v>1</v>
      </c>
      <c r="P17" s="42">
        <v>65.175097281999996</v>
      </c>
      <c r="Q17" s="42">
        <v>62.256809343999997</v>
      </c>
      <c r="R17" s="42">
        <v>60.311284051999998</v>
      </c>
      <c r="S17" s="42">
        <v>58.365758759999999</v>
      </c>
      <c r="T17" s="42">
        <v>56.420233467999999</v>
      </c>
      <c r="U17" s="42">
        <v>55.447470822</v>
      </c>
      <c r="V17" s="42">
        <v>54.474708176</v>
      </c>
      <c r="W17" s="42">
        <v>52.529182884000001</v>
      </c>
      <c r="X17" s="42">
        <v>51.556420237999987</v>
      </c>
      <c r="Y17" s="42">
        <v>50.583657591999987</v>
      </c>
      <c r="Z17" s="42">
        <v>49.610894945999988</v>
      </c>
      <c r="AA17" s="42">
        <v>48.638132300000002</v>
      </c>
      <c r="AB17" s="42">
        <v>47.665369654000003</v>
      </c>
      <c r="AC17" s="42">
        <v>46.692607008000003</v>
      </c>
      <c r="AD17" s="42">
        <v>45.719844362000003</v>
      </c>
      <c r="AE17" s="42">
        <v>44.747081715999997</v>
      </c>
      <c r="AF17" s="42">
        <v>43.774319069999997</v>
      </c>
      <c r="AG17" s="42">
        <v>42.801556423999997</v>
      </c>
      <c r="AH17" s="42">
        <v>41.828793777999998</v>
      </c>
      <c r="AI17" s="42">
        <v>40.856031131999998</v>
      </c>
      <c r="AJ17" s="42">
        <v>39.883268485999999</v>
      </c>
      <c r="AK17" s="42">
        <v>38.910505839999999</v>
      </c>
      <c r="AL17" s="42">
        <v>38.910505839999999</v>
      </c>
      <c r="AM17" s="42">
        <v>37.937743193999999</v>
      </c>
      <c r="AN17" s="42">
        <v>36.964980548</v>
      </c>
      <c r="AO17" s="42">
        <v>35.992217902</v>
      </c>
      <c r="AP17" s="42">
        <v>35.019455256000001</v>
      </c>
      <c r="AQ17" s="42">
        <v>35.019455256000001</v>
      </c>
      <c r="AR17" s="42">
        <v>34.046692610000001</v>
      </c>
      <c r="AS17" s="42">
        <v>271.40077823399997</v>
      </c>
      <c r="AT17" s="42">
        <v>254.863813252</v>
      </c>
      <c r="AU17" s="42">
        <v>242.217898854</v>
      </c>
      <c r="AV17" s="42">
        <v>231.51750974800001</v>
      </c>
      <c r="AW17" s="42">
        <v>221.789883288</v>
      </c>
      <c r="AX17" s="42">
        <v>214.00778212</v>
      </c>
      <c r="AY17" s="42">
        <v>206.225680952</v>
      </c>
      <c r="AZ17" s="42">
        <v>199.41634242999999</v>
      </c>
      <c r="BA17" s="42">
        <v>192.607003908</v>
      </c>
      <c r="BB17" s="42">
        <v>186.77042803200001</v>
      </c>
      <c r="BC17" s="42">
        <v>180.933852156</v>
      </c>
      <c r="BD17" s="42">
        <v>175.09727627999999</v>
      </c>
      <c r="BE17" s="42">
        <v>170.23346305000001</v>
      </c>
      <c r="BF17" s="42">
        <v>165.36964982000001</v>
      </c>
      <c r="BG17" s="42">
        <v>160.50583659</v>
      </c>
      <c r="BH17" s="42">
        <v>155.64202336</v>
      </c>
      <c r="BI17" s="42">
        <v>150.77821012999999</v>
      </c>
      <c r="BJ17" s="42">
        <v>146.88715954599999</v>
      </c>
      <c r="BK17" s="42">
        <v>142.99610896199999</v>
      </c>
      <c r="BL17" s="42">
        <v>139.105058378</v>
      </c>
      <c r="BM17" s="42">
        <v>135.214007794</v>
      </c>
      <c r="BN17" s="42">
        <v>131.32295721</v>
      </c>
      <c r="BO17" s="42">
        <v>128.40466927200001</v>
      </c>
      <c r="BP17" s="42">
        <v>124.51361868799999</v>
      </c>
      <c r="BQ17" s="42">
        <v>121.59533075</v>
      </c>
      <c r="BR17" s="42">
        <v>117.704280166</v>
      </c>
      <c r="BS17" s="42">
        <v>114.785992228</v>
      </c>
      <c r="BT17" s="42">
        <v>111.86770429000001</v>
      </c>
      <c r="BU17" s="42">
        <v>108.949416352</v>
      </c>
    </row>
    <row r="18" spans="1:73" x14ac:dyDescent="0.2">
      <c r="A18" s="103" t="s">
        <v>554</v>
      </c>
      <c r="B18" s="111" t="s">
        <v>1259</v>
      </c>
      <c r="C18" s="25" t="s">
        <v>75</v>
      </c>
      <c r="D18" s="26"/>
      <c r="E18" s="25">
        <v>100</v>
      </c>
      <c r="F18" s="25">
        <v>4</v>
      </c>
      <c r="G18" s="25">
        <v>0.85</v>
      </c>
      <c r="H18" s="25">
        <v>5005</v>
      </c>
      <c r="I18" s="25">
        <v>16</v>
      </c>
      <c r="J18" s="32">
        <f t="shared" si="0"/>
        <v>85085</v>
      </c>
      <c r="K18" s="26"/>
      <c r="L18" s="25">
        <v>3.26</v>
      </c>
      <c r="M18" s="25">
        <v>0.51249999999999996</v>
      </c>
      <c r="N18" s="26"/>
      <c r="O18" s="104">
        <v>1</v>
      </c>
      <c r="P18" s="42">
        <v>65.175097281999996</v>
      </c>
      <c r="Q18" s="42">
        <v>62.256809343999997</v>
      </c>
      <c r="R18" s="42">
        <v>60.311284051999998</v>
      </c>
      <c r="S18" s="42">
        <v>58.365758759999999</v>
      </c>
      <c r="T18" s="42">
        <v>56.420233467999999</v>
      </c>
      <c r="U18" s="42">
        <v>55.447470822</v>
      </c>
      <c r="V18" s="42">
        <v>54.474708176</v>
      </c>
      <c r="W18" s="42">
        <v>52.529182884000001</v>
      </c>
      <c r="X18" s="42">
        <v>51.556420237999987</v>
      </c>
      <c r="Y18" s="42">
        <v>50.583657591999987</v>
      </c>
      <c r="Z18" s="42">
        <v>49.610894945999988</v>
      </c>
      <c r="AA18" s="42">
        <v>48.638132300000002</v>
      </c>
      <c r="AB18" s="42">
        <v>47.665369654000003</v>
      </c>
      <c r="AC18" s="42">
        <v>46.692607008000003</v>
      </c>
      <c r="AD18" s="42">
        <v>45.719844362000003</v>
      </c>
      <c r="AE18" s="42">
        <v>44.747081715999997</v>
      </c>
      <c r="AF18" s="42">
        <v>43.774319069999997</v>
      </c>
      <c r="AG18" s="42">
        <v>42.801556423999997</v>
      </c>
      <c r="AH18" s="42">
        <v>41.828793777999998</v>
      </c>
      <c r="AI18" s="42">
        <v>40.856031131999998</v>
      </c>
      <c r="AJ18" s="42">
        <v>39.883268485999999</v>
      </c>
      <c r="AK18" s="42">
        <v>38.910505839999999</v>
      </c>
      <c r="AL18" s="42">
        <v>38.910505839999999</v>
      </c>
      <c r="AM18" s="42">
        <v>37.937743193999999</v>
      </c>
      <c r="AN18" s="42">
        <v>36.964980548</v>
      </c>
      <c r="AO18" s="42">
        <v>35.992217902</v>
      </c>
      <c r="AP18" s="42">
        <v>35.019455256000001</v>
      </c>
      <c r="AQ18" s="42">
        <v>35.019455256000001</v>
      </c>
      <c r="AR18" s="42">
        <v>34.046692610000001</v>
      </c>
      <c r="AS18" s="42">
        <v>249.02723737599999</v>
      </c>
      <c r="AT18" s="42">
        <v>234.435797686</v>
      </c>
      <c r="AU18" s="42">
        <v>222.76264593400001</v>
      </c>
      <c r="AV18" s="42">
        <v>212.06225682799999</v>
      </c>
      <c r="AW18" s="42">
        <v>203.30739301400001</v>
      </c>
      <c r="AX18" s="42">
        <v>195.52529184599999</v>
      </c>
      <c r="AY18" s="42">
        <v>188.715953324</v>
      </c>
      <c r="AZ18" s="42">
        <v>181.90661480200001</v>
      </c>
      <c r="BA18" s="42">
        <v>176.070038926</v>
      </c>
      <c r="BB18" s="42">
        <v>170.23346305000001</v>
      </c>
      <c r="BC18" s="42">
        <v>164.396887174</v>
      </c>
      <c r="BD18" s="42">
        <v>159.53307394399999</v>
      </c>
      <c r="BE18" s="42">
        <v>154.66926071399999</v>
      </c>
      <c r="BF18" s="42">
        <v>149.80544748400001</v>
      </c>
      <c r="BG18" s="42">
        <v>145.91439690000001</v>
      </c>
      <c r="BH18" s="42">
        <v>142.02334631599999</v>
      </c>
      <c r="BI18" s="42">
        <v>137.15953308600001</v>
      </c>
      <c r="BJ18" s="42">
        <v>133.26848250200001</v>
      </c>
      <c r="BK18" s="42">
        <v>129.37743191800001</v>
      </c>
      <c r="BL18" s="42">
        <v>126.45914397999999</v>
      </c>
      <c r="BM18" s="42">
        <v>122.56809339599999</v>
      </c>
      <c r="BN18" s="42">
        <v>119.649805458</v>
      </c>
      <c r="BO18" s="42">
        <v>115.758754874</v>
      </c>
      <c r="BP18" s="42">
        <v>112.840466936</v>
      </c>
      <c r="BQ18" s="42">
        <v>109.92217899800001</v>
      </c>
      <c r="BR18" s="42">
        <v>107.00389106</v>
      </c>
      <c r="BS18" s="42">
        <v>104.08560312199999</v>
      </c>
      <c r="BT18" s="42">
        <v>101.167315184</v>
      </c>
      <c r="BU18" s="42">
        <v>98.249027245999997</v>
      </c>
    </row>
    <row r="19" spans="1:73" x14ac:dyDescent="0.2">
      <c r="A19" s="103" t="s">
        <v>554</v>
      </c>
      <c r="B19" s="111" t="s">
        <v>1260</v>
      </c>
      <c r="C19" s="25" t="s">
        <v>75</v>
      </c>
      <c r="D19" s="26"/>
      <c r="E19" s="25">
        <v>100</v>
      </c>
      <c r="F19" s="25">
        <v>8</v>
      </c>
      <c r="G19" s="25">
        <v>0.85</v>
      </c>
      <c r="H19" s="25">
        <v>5005</v>
      </c>
      <c r="I19" s="25">
        <v>16</v>
      </c>
      <c r="J19" s="32">
        <f t="shared" si="0"/>
        <v>170170</v>
      </c>
      <c r="K19" s="26"/>
      <c r="L19" s="25">
        <v>5.83</v>
      </c>
      <c r="M19" s="25">
        <v>0.51249999999999996</v>
      </c>
      <c r="N19" s="26"/>
      <c r="O19" s="104">
        <v>1</v>
      </c>
      <c r="P19" s="42">
        <v>65.175097281999996</v>
      </c>
      <c r="Q19" s="42">
        <v>62.256809343999997</v>
      </c>
      <c r="R19" s="42">
        <v>60.311284051999998</v>
      </c>
      <c r="S19" s="42">
        <v>58.365758759999999</v>
      </c>
      <c r="T19" s="42">
        <v>56.420233467999999</v>
      </c>
      <c r="U19" s="42">
        <v>55.447470822</v>
      </c>
      <c r="V19" s="42">
        <v>54.474708176</v>
      </c>
      <c r="W19" s="42">
        <v>52.529182884000001</v>
      </c>
      <c r="X19" s="42">
        <v>51.556420237999987</v>
      </c>
      <c r="Y19" s="42">
        <v>50.583657591999987</v>
      </c>
      <c r="Z19" s="42">
        <v>49.610894945999988</v>
      </c>
      <c r="AA19" s="42">
        <v>48.638132300000002</v>
      </c>
      <c r="AB19" s="42">
        <v>47.665369654000003</v>
      </c>
      <c r="AC19" s="42">
        <v>46.692607008000003</v>
      </c>
      <c r="AD19" s="42">
        <v>45.719844362000003</v>
      </c>
      <c r="AE19" s="42">
        <v>44.747081715999997</v>
      </c>
      <c r="AF19" s="42">
        <v>43.774319069999997</v>
      </c>
      <c r="AG19" s="42">
        <v>42.801556423999997</v>
      </c>
      <c r="AH19" s="42">
        <v>41.828793777999998</v>
      </c>
      <c r="AI19" s="42">
        <v>40.856031131999998</v>
      </c>
      <c r="AJ19" s="42">
        <v>39.883268485999999</v>
      </c>
      <c r="AK19" s="42">
        <v>38.910505839999999</v>
      </c>
      <c r="AL19" s="42">
        <v>38.910505839999999</v>
      </c>
      <c r="AM19" s="42">
        <v>37.937743193999999</v>
      </c>
      <c r="AN19" s="42">
        <v>36.964980548</v>
      </c>
      <c r="AO19" s="42">
        <v>35.992217902</v>
      </c>
      <c r="AP19" s="42">
        <v>35.019455256000001</v>
      </c>
      <c r="AQ19" s="42">
        <v>35.019455256000001</v>
      </c>
      <c r="AR19" s="42">
        <v>34.046692610000001</v>
      </c>
      <c r="AS19" s="42">
        <v>242.217898854</v>
      </c>
      <c r="AT19" s="42">
        <v>227.62645916400001</v>
      </c>
      <c r="AU19" s="42">
        <v>215.95330741199999</v>
      </c>
      <c r="AV19" s="42">
        <v>206.225680952</v>
      </c>
      <c r="AW19" s="42">
        <v>197.470817138</v>
      </c>
      <c r="AX19" s="42">
        <v>189.68871597</v>
      </c>
      <c r="AY19" s="42">
        <v>182.87937744800001</v>
      </c>
      <c r="AZ19" s="42">
        <v>176.070038926</v>
      </c>
      <c r="BA19" s="42">
        <v>170.23346305000001</v>
      </c>
      <c r="BB19" s="42">
        <v>164.396887174</v>
      </c>
      <c r="BC19" s="42">
        <v>159.53307394399999</v>
      </c>
      <c r="BD19" s="42">
        <v>154.66926071399999</v>
      </c>
      <c r="BE19" s="42">
        <v>149.80544748400001</v>
      </c>
      <c r="BF19" s="42">
        <v>144.94163425400001</v>
      </c>
      <c r="BG19" s="42">
        <v>141.05058367000001</v>
      </c>
      <c r="BH19" s="42">
        <v>137.15953308600001</v>
      </c>
      <c r="BI19" s="42">
        <v>133.26848250200001</v>
      </c>
      <c r="BJ19" s="42">
        <v>129.37743191800001</v>
      </c>
      <c r="BK19" s="42">
        <v>125.486381334</v>
      </c>
      <c r="BL19" s="42">
        <v>121.59533075</v>
      </c>
      <c r="BM19" s="42">
        <v>118.677042812</v>
      </c>
      <c r="BN19" s="42">
        <v>114.785992228</v>
      </c>
      <c r="BO19" s="42">
        <v>111.86770429000001</v>
      </c>
      <c r="BP19" s="42">
        <v>108.949416352</v>
      </c>
      <c r="BQ19" s="42">
        <v>106.03112841399999</v>
      </c>
      <c r="BR19" s="42">
        <v>103.112840476</v>
      </c>
      <c r="BS19" s="42">
        <v>100.194552538</v>
      </c>
      <c r="BT19" s="42">
        <v>97.27626459999999</v>
      </c>
      <c r="BU19" s="42">
        <v>94.357976661999999</v>
      </c>
    </row>
    <row r="20" spans="1:73" x14ac:dyDescent="0.2">
      <c r="A20" s="103" t="s">
        <v>554</v>
      </c>
      <c r="B20" s="111" t="s">
        <v>1261</v>
      </c>
      <c r="C20" s="25" t="s">
        <v>75</v>
      </c>
      <c r="D20" s="26"/>
      <c r="E20" s="25">
        <v>100</v>
      </c>
      <c r="F20" s="25">
        <v>10</v>
      </c>
      <c r="G20" s="25">
        <v>0.85</v>
      </c>
      <c r="H20" s="25">
        <v>5005</v>
      </c>
      <c r="I20" s="25">
        <v>16</v>
      </c>
      <c r="J20" s="32">
        <f t="shared" si="0"/>
        <v>212712.5</v>
      </c>
      <c r="K20" s="26"/>
      <c r="L20" s="25">
        <v>7.1</v>
      </c>
      <c r="M20" s="25">
        <v>0.51249999999999996</v>
      </c>
      <c r="N20" s="26"/>
      <c r="O20" s="104">
        <v>1</v>
      </c>
      <c r="P20" s="42">
        <v>65.175097281999996</v>
      </c>
      <c r="Q20" s="42">
        <v>62.256809343999997</v>
      </c>
      <c r="R20" s="42">
        <v>60.311284051999998</v>
      </c>
      <c r="S20" s="42">
        <v>58.365758759999999</v>
      </c>
      <c r="T20" s="42">
        <v>56.420233467999999</v>
      </c>
      <c r="U20" s="42">
        <v>55.447470822</v>
      </c>
      <c r="V20" s="42">
        <v>54.474708176</v>
      </c>
      <c r="W20" s="42">
        <v>52.529182884000001</v>
      </c>
      <c r="X20" s="42">
        <v>51.556420237999987</v>
      </c>
      <c r="Y20" s="42">
        <v>50.583657591999987</v>
      </c>
      <c r="Z20" s="42">
        <v>49.610894945999988</v>
      </c>
      <c r="AA20" s="42">
        <v>48.638132300000002</v>
      </c>
      <c r="AB20" s="42">
        <v>47.665369654000003</v>
      </c>
      <c r="AC20" s="42">
        <v>46.692607008000003</v>
      </c>
      <c r="AD20" s="42">
        <v>45.719844362000003</v>
      </c>
      <c r="AE20" s="42">
        <v>44.747081715999997</v>
      </c>
      <c r="AF20" s="42">
        <v>43.774319069999997</v>
      </c>
      <c r="AG20" s="42">
        <v>42.801556423999997</v>
      </c>
      <c r="AH20" s="42">
        <v>41.828793777999998</v>
      </c>
      <c r="AI20" s="42">
        <v>40.856031131999998</v>
      </c>
      <c r="AJ20" s="42">
        <v>39.883268485999999</v>
      </c>
      <c r="AK20" s="42">
        <v>38.910505839999999</v>
      </c>
      <c r="AL20" s="42">
        <v>38.910505839999999</v>
      </c>
      <c r="AM20" s="42">
        <v>37.937743193999999</v>
      </c>
      <c r="AN20" s="42">
        <v>36.964980548</v>
      </c>
      <c r="AO20" s="42">
        <v>35.992217902</v>
      </c>
      <c r="AP20" s="42">
        <v>35.019455256000001</v>
      </c>
      <c r="AQ20" s="42">
        <v>35.019455256000001</v>
      </c>
      <c r="AR20" s="42">
        <v>34.046692610000001</v>
      </c>
      <c r="AS20" s="42">
        <v>241.24513620799999</v>
      </c>
      <c r="AT20" s="42">
        <v>226.653696518</v>
      </c>
      <c r="AU20" s="42">
        <v>214.98054476600001</v>
      </c>
      <c r="AV20" s="42">
        <v>205.252918306</v>
      </c>
      <c r="AW20" s="42">
        <v>196.49805449199999</v>
      </c>
      <c r="AX20" s="42">
        <v>188.715953324</v>
      </c>
      <c r="AY20" s="42">
        <v>181.90661480200001</v>
      </c>
      <c r="AZ20" s="42">
        <v>175.09727627999999</v>
      </c>
      <c r="BA20" s="42">
        <v>169.260700404</v>
      </c>
      <c r="BB20" s="42">
        <v>164.396887174</v>
      </c>
      <c r="BC20" s="42">
        <v>158.56031129799999</v>
      </c>
      <c r="BD20" s="42">
        <v>153.69649806800001</v>
      </c>
      <c r="BE20" s="42">
        <v>148.83268483800001</v>
      </c>
      <c r="BF20" s="42">
        <v>144.94163425400001</v>
      </c>
      <c r="BG20" s="42">
        <v>140.077821024</v>
      </c>
      <c r="BH20" s="42">
        <v>136.18677044</v>
      </c>
      <c r="BI20" s="42">
        <v>132.29571985600001</v>
      </c>
      <c r="BJ20" s="42">
        <v>128.40466927200001</v>
      </c>
      <c r="BK20" s="42">
        <v>124.51361868799999</v>
      </c>
      <c r="BL20" s="42">
        <v>121.59533075</v>
      </c>
      <c r="BM20" s="42">
        <v>117.704280166</v>
      </c>
      <c r="BN20" s="42">
        <v>114.785992228</v>
      </c>
      <c r="BO20" s="42">
        <v>110.894941644</v>
      </c>
      <c r="BP20" s="42">
        <v>107.97665370599999</v>
      </c>
      <c r="BQ20" s="42">
        <v>105.058365768</v>
      </c>
      <c r="BR20" s="42">
        <v>102.14007783</v>
      </c>
      <c r="BS20" s="42">
        <v>99.22178989199999</v>
      </c>
      <c r="BT20" s="42">
        <v>97.27626459999999</v>
      </c>
      <c r="BU20" s="42">
        <v>94.357976661999999</v>
      </c>
    </row>
    <row r="21" spans="1:73" x14ac:dyDescent="0.2">
      <c r="A21" s="114" t="s">
        <v>554</v>
      </c>
      <c r="B21" s="111" t="s">
        <v>1262</v>
      </c>
      <c r="C21" s="27" t="s">
        <v>75</v>
      </c>
      <c r="D21" s="28"/>
      <c r="E21" s="27">
        <v>100</v>
      </c>
      <c r="F21" s="27">
        <v>24</v>
      </c>
      <c r="G21" s="27">
        <v>0.85</v>
      </c>
      <c r="H21" s="27">
        <v>2912</v>
      </c>
      <c r="I21" s="27">
        <v>16</v>
      </c>
      <c r="J21" s="33">
        <f t="shared" si="0"/>
        <v>297024</v>
      </c>
      <c r="K21" s="28"/>
      <c r="L21" s="27">
        <v>15.91</v>
      </c>
      <c r="M21" s="27">
        <v>0.51249999999999996</v>
      </c>
      <c r="N21" s="28"/>
      <c r="O21" s="106">
        <v>1</v>
      </c>
      <c r="P21" s="43">
        <v>65.175097281999996</v>
      </c>
      <c r="Q21" s="43">
        <v>62.256809343999997</v>
      </c>
      <c r="R21" s="43">
        <v>60.311284051999998</v>
      </c>
      <c r="S21" s="43">
        <v>58.365758759999999</v>
      </c>
      <c r="T21" s="43">
        <v>56.420233467999999</v>
      </c>
      <c r="U21" s="43">
        <v>55.447470822</v>
      </c>
      <c r="V21" s="43">
        <v>54.474708176</v>
      </c>
      <c r="W21" s="43">
        <v>52.529182884000001</v>
      </c>
      <c r="X21" s="43">
        <v>51.556420237999987</v>
      </c>
      <c r="Y21" s="43">
        <v>50.583657591999987</v>
      </c>
      <c r="Z21" s="43">
        <v>49.610894945999988</v>
      </c>
      <c r="AA21" s="43">
        <v>48.638132300000002</v>
      </c>
      <c r="AB21" s="43">
        <v>47.665369654000003</v>
      </c>
      <c r="AC21" s="43">
        <v>46.692607008000003</v>
      </c>
      <c r="AD21" s="43">
        <v>45.719844362000003</v>
      </c>
      <c r="AE21" s="43">
        <v>44.747081715999997</v>
      </c>
      <c r="AF21" s="43">
        <v>43.774319069999997</v>
      </c>
      <c r="AG21" s="43">
        <v>42.801556423999997</v>
      </c>
      <c r="AH21" s="43">
        <v>41.828793777999998</v>
      </c>
      <c r="AI21" s="43">
        <v>40.856031131999998</v>
      </c>
      <c r="AJ21" s="43">
        <v>39.883268485999999</v>
      </c>
      <c r="AK21" s="43">
        <v>38.910505839999999</v>
      </c>
      <c r="AL21" s="43">
        <v>38.910505839999999</v>
      </c>
      <c r="AM21" s="43">
        <v>37.937743193999999</v>
      </c>
      <c r="AN21" s="43">
        <v>36.964980548</v>
      </c>
      <c r="AO21" s="43">
        <v>35.992217902</v>
      </c>
      <c r="AP21" s="43">
        <v>35.019455256000001</v>
      </c>
      <c r="AQ21" s="43">
        <v>35.019455256000001</v>
      </c>
      <c r="AR21" s="43">
        <v>34.046692610000001</v>
      </c>
      <c r="AS21" s="43">
        <v>237.35408562399999</v>
      </c>
      <c r="AT21" s="43">
        <v>222.76264593400001</v>
      </c>
      <c r="AU21" s="43">
        <v>211.08949418200001</v>
      </c>
      <c r="AV21" s="43">
        <v>201.361867722</v>
      </c>
      <c r="AW21" s="43">
        <v>192.607003908</v>
      </c>
      <c r="AX21" s="43">
        <v>185.79766538600001</v>
      </c>
      <c r="AY21" s="43">
        <v>178.98832686399999</v>
      </c>
      <c r="AZ21" s="43">
        <v>172.178988342</v>
      </c>
      <c r="BA21" s="43">
        <v>166.34241246600001</v>
      </c>
      <c r="BB21" s="43">
        <v>160.50583659</v>
      </c>
      <c r="BC21" s="43">
        <v>155.64202336</v>
      </c>
      <c r="BD21" s="43">
        <v>150.77821012999999</v>
      </c>
      <c r="BE21" s="43">
        <v>145.91439690000001</v>
      </c>
      <c r="BF21" s="43">
        <v>142.02334631599999</v>
      </c>
      <c r="BG21" s="43">
        <v>137.15953308600001</v>
      </c>
      <c r="BH21" s="43">
        <v>133.26848250200001</v>
      </c>
      <c r="BI21" s="43">
        <v>129.37743191800001</v>
      </c>
      <c r="BJ21" s="43">
        <v>125.486381334</v>
      </c>
      <c r="BK21" s="43">
        <v>122.56809339599999</v>
      </c>
      <c r="BL21" s="43">
        <v>118.677042812</v>
      </c>
      <c r="BM21" s="43">
        <v>115.758754874</v>
      </c>
      <c r="BN21" s="43">
        <v>111.86770429000001</v>
      </c>
      <c r="BO21" s="43">
        <v>108.949416352</v>
      </c>
      <c r="BP21" s="43">
        <v>106.03112841399999</v>
      </c>
      <c r="BQ21" s="43">
        <v>103.112840476</v>
      </c>
      <c r="BR21" s="43">
        <v>100.194552538</v>
      </c>
      <c r="BS21" s="43">
        <v>97.27626459999999</v>
      </c>
      <c r="BT21" s="43">
        <v>95.330739307999991</v>
      </c>
      <c r="BU21" s="43">
        <v>92.412451369999999</v>
      </c>
    </row>
    <row r="22" spans="1:73" ht="16" thickBot="1" x14ac:dyDescent="0.25">
      <c r="A22" s="115" t="s">
        <v>554</v>
      </c>
      <c r="B22" s="112" t="s">
        <v>1263</v>
      </c>
      <c r="C22" s="116" t="s">
        <v>75</v>
      </c>
      <c r="D22" s="117"/>
      <c r="E22" s="116">
        <v>100</v>
      </c>
      <c r="F22" s="116">
        <v>100</v>
      </c>
      <c r="G22" s="116">
        <v>0.85</v>
      </c>
      <c r="H22" s="116">
        <v>688</v>
      </c>
      <c r="I22" s="116">
        <v>16</v>
      </c>
      <c r="J22" s="118">
        <f t="shared" si="0"/>
        <v>292400</v>
      </c>
      <c r="K22" s="117"/>
      <c r="L22" s="116">
        <v>62.48</v>
      </c>
      <c r="M22" s="116">
        <v>0.51249999999999996</v>
      </c>
      <c r="N22" s="117"/>
      <c r="O22" s="119">
        <v>1</v>
      </c>
      <c r="P22" s="120">
        <v>65.175097281999996</v>
      </c>
      <c r="Q22" s="120">
        <v>62.256809343999997</v>
      </c>
      <c r="R22" s="120">
        <v>60.311284051999998</v>
      </c>
      <c r="S22" s="120">
        <v>58.365758759999999</v>
      </c>
      <c r="T22" s="120">
        <v>56.420233467999999</v>
      </c>
      <c r="U22" s="120">
        <v>55.447470822</v>
      </c>
      <c r="V22" s="120">
        <v>54.474708176</v>
      </c>
      <c r="W22" s="120">
        <v>52.529182884000001</v>
      </c>
      <c r="X22" s="120">
        <v>51.556420237999987</v>
      </c>
      <c r="Y22" s="120">
        <v>50.583657591999987</v>
      </c>
      <c r="Z22" s="120">
        <v>49.610894945999988</v>
      </c>
      <c r="AA22" s="120">
        <v>48.638132300000002</v>
      </c>
      <c r="AB22" s="120">
        <v>47.665369654000003</v>
      </c>
      <c r="AC22" s="120">
        <v>46.692607008000003</v>
      </c>
      <c r="AD22" s="120">
        <v>45.719844362000003</v>
      </c>
      <c r="AE22" s="120">
        <v>44.747081715999997</v>
      </c>
      <c r="AF22" s="120">
        <v>43.774319069999997</v>
      </c>
      <c r="AG22" s="120">
        <v>42.801556423999997</v>
      </c>
      <c r="AH22" s="120">
        <v>41.828793777999998</v>
      </c>
      <c r="AI22" s="120">
        <v>40.856031131999998</v>
      </c>
      <c r="AJ22" s="120">
        <v>39.883268485999999</v>
      </c>
      <c r="AK22" s="120">
        <v>38.910505839999999</v>
      </c>
      <c r="AL22" s="120">
        <v>38.910505839999999</v>
      </c>
      <c r="AM22" s="120">
        <v>37.937743193999999</v>
      </c>
      <c r="AN22" s="120">
        <v>36.964980548</v>
      </c>
      <c r="AO22" s="120">
        <v>35.992217902</v>
      </c>
      <c r="AP22" s="120">
        <v>35.019455256000001</v>
      </c>
      <c r="AQ22" s="120">
        <v>35.019455256000001</v>
      </c>
      <c r="AR22" s="120">
        <v>34.046692610000001</v>
      </c>
      <c r="AS22" s="120">
        <v>232.49027239399999</v>
      </c>
      <c r="AT22" s="120">
        <v>217.898832704</v>
      </c>
      <c r="AU22" s="120">
        <v>206.225680952</v>
      </c>
      <c r="AV22" s="120">
        <v>197.470817138</v>
      </c>
      <c r="AW22" s="120">
        <v>188.715953324</v>
      </c>
      <c r="AX22" s="120">
        <v>181.90661480200001</v>
      </c>
      <c r="AY22" s="120">
        <v>175.09727627999999</v>
      </c>
      <c r="AZ22" s="120">
        <v>168.287937758</v>
      </c>
      <c r="BA22" s="120">
        <v>163.42412452799999</v>
      </c>
      <c r="BB22" s="120">
        <v>157.58754865200001</v>
      </c>
      <c r="BC22" s="120">
        <v>152.723735422</v>
      </c>
      <c r="BD22" s="120">
        <v>147.859922192</v>
      </c>
      <c r="BE22" s="120">
        <v>142.99610896199999</v>
      </c>
      <c r="BF22" s="120">
        <v>139.105058378</v>
      </c>
      <c r="BG22" s="120">
        <v>135.214007794</v>
      </c>
      <c r="BH22" s="120">
        <v>130.35019456399999</v>
      </c>
      <c r="BI22" s="120">
        <v>126.45914397999999</v>
      </c>
      <c r="BJ22" s="120">
        <v>123.540856042</v>
      </c>
      <c r="BK22" s="120">
        <v>119.649805458</v>
      </c>
      <c r="BL22" s="120">
        <v>116.73151752</v>
      </c>
      <c r="BM22" s="120">
        <v>112.840466936</v>
      </c>
      <c r="BN22" s="120">
        <v>109.92217899800001</v>
      </c>
      <c r="BO22" s="120">
        <v>107.00389106</v>
      </c>
      <c r="BP22" s="120">
        <v>104.08560312199999</v>
      </c>
      <c r="BQ22" s="120">
        <v>101.167315184</v>
      </c>
      <c r="BR22" s="120">
        <v>98.249027245999997</v>
      </c>
      <c r="BS22" s="120">
        <v>95.330739307999991</v>
      </c>
      <c r="BT22" s="120">
        <v>93.385214015999992</v>
      </c>
      <c r="BU22" s="120">
        <v>90.466926078</v>
      </c>
    </row>
    <row r="23" spans="1:73" x14ac:dyDescent="0.2">
      <c r="A23" s="103" t="s">
        <v>555</v>
      </c>
      <c r="B23" s="111" t="s">
        <v>1249</v>
      </c>
      <c r="C23" s="25" t="s">
        <v>75</v>
      </c>
      <c r="D23" s="26"/>
      <c r="E23" s="25">
        <v>100</v>
      </c>
      <c r="F23" s="25">
        <v>10</v>
      </c>
      <c r="G23" s="25">
        <v>0.55000000000000004</v>
      </c>
      <c r="H23" s="25">
        <v>26280</v>
      </c>
      <c r="I23" s="25">
        <v>60</v>
      </c>
      <c r="J23" s="32">
        <f t="shared" si="0"/>
        <v>192720</v>
      </c>
      <c r="K23" s="26"/>
      <c r="L23" s="25">
        <v>15.43</v>
      </c>
      <c r="M23" s="25">
        <v>0.97</v>
      </c>
      <c r="N23" s="26"/>
      <c r="O23" s="104">
        <v>1</v>
      </c>
      <c r="P23" s="42">
        <v>1020.35992226878</v>
      </c>
      <c r="Q23" s="42">
        <v>1020.35992226878</v>
      </c>
      <c r="R23" s="42">
        <v>1020.35992226878</v>
      </c>
      <c r="S23" s="42">
        <v>1020.35992226878</v>
      </c>
      <c r="T23" s="42">
        <v>1020.35992226878</v>
      </c>
      <c r="U23" s="42">
        <v>1020.35992226878</v>
      </c>
      <c r="V23" s="42">
        <v>1020.35992226878</v>
      </c>
      <c r="W23" s="42">
        <v>1020.35992226878</v>
      </c>
      <c r="X23" s="42">
        <v>1020.35992226878</v>
      </c>
      <c r="Y23" s="42">
        <v>1020.35992226878</v>
      </c>
      <c r="Z23" s="42">
        <v>1020.35992226878</v>
      </c>
      <c r="AA23" s="42">
        <v>1020.35992226878</v>
      </c>
      <c r="AB23" s="42">
        <v>1020.35992226878</v>
      </c>
      <c r="AC23" s="42">
        <v>1020.35992226878</v>
      </c>
      <c r="AD23" s="42">
        <v>1020.35992226878</v>
      </c>
      <c r="AE23" s="42">
        <v>1020.35992226878</v>
      </c>
      <c r="AF23" s="42">
        <v>1020.35992226878</v>
      </c>
      <c r="AG23" s="42">
        <v>1020.35992226878</v>
      </c>
      <c r="AH23" s="42">
        <v>1020.35992226878</v>
      </c>
      <c r="AI23" s="42">
        <v>1020.35992226878</v>
      </c>
      <c r="AJ23" s="42">
        <v>1020.35992226878</v>
      </c>
      <c r="AK23" s="42">
        <v>1020.35992226878</v>
      </c>
      <c r="AL23" s="42">
        <v>1020.35992226878</v>
      </c>
      <c r="AM23" s="42">
        <v>1020.35992226878</v>
      </c>
      <c r="AN23" s="42">
        <v>1020.35992226878</v>
      </c>
      <c r="AO23" s="42">
        <v>1020.35992226878</v>
      </c>
      <c r="AP23" s="42">
        <v>1020.35992226878</v>
      </c>
      <c r="AQ23" s="42">
        <v>1020.35992226878</v>
      </c>
      <c r="AR23" s="42">
        <v>1020.35992226878</v>
      </c>
      <c r="AS23" s="42">
        <v>7.4319066154399991</v>
      </c>
      <c r="AT23" s="42">
        <v>7.4319066154399991</v>
      </c>
      <c r="AU23" s="42">
        <v>7.4319066154399991</v>
      </c>
      <c r="AV23" s="42">
        <v>7.4319066154399991</v>
      </c>
      <c r="AW23" s="42">
        <v>7.4319066154399991</v>
      </c>
      <c r="AX23" s="42">
        <v>7.4319066154399991</v>
      </c>
      <c r="AY23" s="42">
        <v>7.4319066154399991</v>
      </c>
      <c r="AZ23" s="42">
        <v>7.4319066154399991</v>
      </c>
      <c r="BA23" s="42">
        <v>7.4319066154399991</v>
      </c>
      <c r="BB23" s="42">
        <v>7.4319066154399991</v>
      </c>
      <c r="BC23" s="42">
        <v>7.4319066154399991</v>
      </c>
      <c r="BD23" s="42">
        <v>7.4319066154399991</v>
      </c>
      <c r="BE23" s="42">
        <v>7.4319066154399991</v>
      </c>
      <c r="BF23" s="42">
        <v>7.4319066154399991</v>
      </c>
      <c r="BG23" s="42">
        <v>7.4319066154399991</v>
      </c>
      <c r="BH23" s="42">
        <v>7.4319066154399991</v>
      </c>
      <c r="BI23" s="42">
        <v>7.4319066154399991</v>
      </c>
      <c r="BJ23" s="42">
        <v>7.4319066154399991</v>
      </c>
      <c r="BK23" s="42">
        <v>7.4319066154399991</v>
      </c>
      <c r="BL23" s="42">
        <v>7.4319066154399991</v>
      </c>
      <c r="BM23" s="42">
        <v>7.4319066154399991</v>
      </c>
      <c r="BN23" s="42">
        <v>7.4319066154399991</v>
      </c>
      <c r="BO23" s="42">
        <v>7.4319066154399991</v>
      </c>
      <c r="BP23" s="42">
        <v>7.4319066154399991</v>
      </c>
      <c r="BQ23" s="42">
        <v>7.4319066154399991</v>
      </c>
      <c r="BR23" s="42">
        <v>7.4319066154399991</v>
      </c>
      <c r="BS23" s="42">
        <v>7.4319066154399991</v>
      </c>
      <c r="BT23" s="42">
        <v>7.4319066154399991</v>
      </c>
      <c r="BU23" s="42">
        <v>7.4319066154399991</v>
      </c>
    </row>
    <row r="24" spans="1:73" x14ac:dyDescent="0.2">
      <c r="A24" s="103" t="s">
        <v>555</v>
      </c>
      <c r="B24" s="111" t="s">
        <v>1250</v>
      </c>
      <c r="C24" s="25" t="s">
        <v>75</v>
      </c>
      <c r="D24" s="26"/>
      <c r="E24" s="25">
        <v>100</v>
      </c>
      <c r="F24" s="25">
        <v>24</v>
      </c>
      <c r="G24" s="25">
        <v>0.55000000000000004</v>
      </c>
      <c r="H24" s="25">
        <v>10920</v>
      </c>
      <c r="I24" s="25">
        <v>60</v>
      </c>
      <c r="J24" s="32">
        <f t="shared" si="0"/>
        <v>192192</v>
      </c>
      <c r="K24" s="26"/>
      <c r="L24" s="25">
        <v>14.88</v>
      </c>
      <c r="M24" s="25">
        <v>0.97</v>
      </c>
      <c r="N24" s="26"/>
      <c r="O24" s="104">
        <v>1</v>
      </c>
      <c r="P24" s="42">
        <v>1019.8540856928601</v>
      </c>
      <c r="Q24" s="42">
        <v>1019.8540856928601</v>
      </c>
      <c r="R24" s="42">
        <v>1019.8540856928601</v>
      </c>
      <c r="S24" s="42">
        <v>1019.8540856928601</v>
      </c>
      <c r="T24" s="42">
        <v>1019.8540856928601</v>
      </c>
      <c r="U24" s="42">
        <v>1019.8540856928601</v>
      </c>
      <c r="V24" s="42">
        <v>1019.8540856928601</v>
      </c>
      <c r="W24" s="42">
        <v>1019.8540856928601</v>
      </c>
      <c r="X24" s="42">
        <v>1019.8540856928601</v>
      </c>
      <c r="Y24" s="42">
        <v>1019.8540856928601</v>
      </c>
      <c r="Z24" s="42">
        <v>1019.8540856928601</v>
      </c>
      <c r="AA24" s="42">
        <v>1019.8540856928601</v>
      </c>
      <c r="AB24" s="42">
        <v>1019.8540856928601</v>
      </c>
      <c r="AC24" s="42">
        <v>1019.8540856928601</v>
      </c>
      <c r="AD24" s="42">
        <v>1019.8540856928601</v>
      </c>
      <c r="AE24" s="42">
        <v>1019.8540856928601</v>
      </c>
      <c r="AF24" s="42">
        <v>1019.8540856928601</v>
      </c>
      <c r="AG24" s="42">
        <v>1019.8540856928601</v>
      </c>
      <c r="AH24" s="42">
        <v>1019.8540856928601</v>
      </c>
      <c r="AI24" s="42">
        <v>1019.8540856928601</v>
      </c>
      <c r="AJ24" s="42">
        <v>1019.8540856928601</v>
      </c>
      <c r="AK24" s="42">
        <v>1019.8540856928601</v>
      </c>
      <c r="AL24" s="42">
        <v>1019.8540856928601</v>
      </c>
      <c r="AM24" s="42">
        <v>1019.8540856928601</v>
      </c>
      <c r="AN24" s="42">
        <v>1019.8540856928601</v>
      </c>
      <c r="AO24" s="42">
        <v>1019.8540856928601</v>
      </c>
      <c r="AP24" s="42">
        <v>1019.8540856928601</v>
      </c>
      <c r="AQ24" s="42">
        <v>1019.8540856928601</v>
      </c>
      <c r="AR24" s="42">
        <v>1019.8540856928601</v>
      </c>
      <c r="AS24" s="42">
        <v>6.4494163429799993</v>
      </c>
      <c r="AT24" s="42">
        <v>6.4494163429799993</v>
      </c>
      <c r="AU24" s="42">
        <v>6.4494163429799993</v>
      </c>
      <c r="AV24" s="42">
        <v>6.4494163429799993</v>
      </c>
      <c r="AW24" s="42">
        <v>6.4494163429799993</v>
      </c>
      <c r="AX24" s="42">
        <v>6.4494163429799993</v>
      </c>
      <c r="AY24" s="42">
        <v>6.4494163429799993</v>
      </c>
      <c r="AZ24" s="42">
        <v>6.4494163429799993</v>
      </c>
      <c r="BA24" s="42">
        <v>6.4494163429799993</v>
      </c>
      <c r="BB24" s="42">
        <v>6.4494163429799993</v>
      </c>
      <c r="BC24" s="42">
        <v>6.4494163429799993</v>
      </c>
      <c r="BD24" s="42">
        <v>6.4494163429799993</v>
      </c>
      <c r="BE24" s="42">
        <v>6.4494163429799993</v>
      </c>
      <c r="BF24" s="42">
        <v>6.4494163429799993</v>
      </c>
      <c r="BG24" s="42">
        <v>6.4494163429799993</v>
      </c>
      <c r="BH24" s="42">
        <v>6.4494163429799993</v>
      </c>
      <c r="BI24" s="42">
        <v>6.4494163429799993</v>
      </c>
      <c r="BJ24" s="42">
        <v>6.4494163429799993</v>
      </c>
      <c r="BK24" s="42">
        <v>6.4494163429799993</v>
      </c>
      <c r="BL24" s="42">
        <v>6.4494163429799993</v>
      </c>
      <c r="BM24" s="42">
        <v>6.4494163429799993</v>
      </c>
      <c r="BN24" s="42">
        <v>6.4494163429799993</v>
      </c>
      <c r="BO24" s="42">
        <v>6.4494163429799993</v>
      </c>
      <c r="BP24" s="42">
        <v>6.4494163429799993</v>
      </c>
      <c r="BQ24" s="42">
        <v>6.4494163429799993</v>
      </c>
      <c r="BR24" s="42">
        <v>6.4494163429799993</v>
      </c>
      <c r="BS24" s="42">
        <v>6.4494163429799993</v>
      </c>
      <c r="BT24" s="42">
        <v>6.4494163429799993</v>
      </c>
      <c r="BU24" s="42">
        <v>6.4494163429799993</v>
      </c>
    </row>
    <row r="25" spans="1:73" x14ac:dyDescent="0.2">
      <c r="A25" s="103" t="s">
        <v>555</v>
      </c>
      <c r="B25" s="111" t="s">
        <v>1251</v>
      </c>
      <c r="C25" s="25" t="s">
        <v>75</v>
      </c>
      <c r="D25" s="26"/>
      <c r="E25" s="25">
        <v>100</v>
      </c>
      <c r="F25" s="25">
        <v>100</v>
      </c>
      <c r="G25" s="25">
        <v>0.55000000000000004</v>
      </c>
      <c r="H25" s="25">
        <v>2580</v>
      </c>
      <c r="I25" s="25">
        <v>60</v>
      </c>
      <c r="J25" s="32">
        <f t="shared" si="0"/>
        <v>189200</v>
      </c>
      <c r="K25" s="26"/>
      <c r="L25" s="25">
        <v>16.5</v>
      </c>
      <c r="M25" s="25">
        <v>0.97</v>
      </c>
      <c r="N25" s="26"/>
      <c r="O25" s="104">
        <v>1</v>
      </c>
      <c r="P25" s="42">
        <v>1019.58171215198</v>
      </c>
      <c r="Q25" s="42">
        <v>1019.58171215198</v>
      </c>
      <c r="R25" s="42">
        <v>1019.58171215198</v>
      </c>
      <c r="S25" s="42">
        <v>1019.58171215198</v>
      </c>
      <c r="T25" s="42">
        <v>1019.58171215198</v>
      </c>
      <c r="U25" s="42">
        <v>1019.58171215198</v>
      </c>
      <c r="V25" s="42">
        <v>1019.58171215198</v>
      </c>
      <c r="W25" s="42">
        <v>1019.58171215198</v>
      </c>
      <c r="X25" s="42">
        <v>1019.58171215198</v>
      </c>
      <c r="Y25" s="42">
        <v>1019.58171215198</v>
      </c>
      <c r="Z25" s="42">
        <v>1019.58171215198</v>
      </c>
      <c r="AA25" s="42">
        <v>1019.58171215198</v>
      </c>
      <c r="AB25" s="42">
        <v>1019.58171215198</v>
      </c>
      <c r="AC25" s="42">
        <v>1019.58171215198</v>
      </c>
      <c r="AD25" s="42">
        <v>1019.58171215198</v>
      </c>
      <c r="AE25" s="42">
        <v>1019.58171215198</v>
      </c>
      <c r="AF25" s="42">
        <v>1019.58171215198</v>
      </c>
      <c r="AG25" s="42">
        <v>1019.58171215198</v>
      </c>
      <c r="AH25" s="42">
        <v>1019.58171215198</v>
      </c>
      <c r="AI25" s="42">
        <v>1019.58171215198</v>
      </c>
      <c r="AJ25" s="42">
        <v>1019.58171215198</v>
      </c>
      <c r="AK25" s="42">
        <v>1019.58171215198</v>
      </c>
      <c r="AL25" s="42">
        <v>1019.58171215198</v>
      </c>
      <c r="AM25" s="42">
        <v>1019.58171215198</v>
      </c>
      <c r="AN25" s="42">
        <v>1019.58171215198</v>
      </c>
      <c r="AO25" s="42">
        <v>1019.58171215198</v>
      </c>
      <c r="AP25" s="42">
        <v>1019.58171215198</v>
      </c>
      <c r="AQ25" s="42">
        <v>1019.58171215198</v>
      </c>
      <c r="AR25" s="42">
        <v>1019.58171215198</v>
      </c>
      <c r="AS25" s="42">
        <v>5.7295719849399998</v>
      </c>
      <c r="AT25" s="42">
        <v>5.7295719849399998</v>
      </c>
      <c r="AU25" s="42">
        <v>5.7295719849399998</v>
      </c>
      <c r="AV25" s="42">
        <v>5.7295719849399998</v>
      </c>
      <c r="AW25" s="42">
        <v>5.7295719849399998</v>
      </c>
      <c r="AX25" s="42">
        <v>5.7295719849399998</v>
      </c>
      <c r="AY25" s="42">
        <v>5.7295719849399998</v>
      </c>
      <c r="AZ25" s="42">
        <v>5.7295719849399998</v>
      </c>
      <c r="BA25" s="42">
        <v>5.7295719849399998</v>
      </c>
      <c r="BB25" s="42">
        <v>5.7295719849399998</v>
      </c>
      <c r="BC25" s="42">
        <v>5.7295719849399998</v>
      </c>
      <c r="BD25" s="42">
        <v>5.7295719849399998</v>
      </c>
      <c r="BE25" s="42">
        <v>5.7295719849399998</v>
      </c>
      <c r="BF25" s="42">
        <v>5.7295719849399998</v>
      </c>
      <c r="BG25" s="42">
        <v>5.7295719849399998</v>
      </c>
      <c r="BH25" s="42">
        <v>5.7295719849399998</v>
      </c>
      <c r="BI25" s="42">
        <v>5.7295719849399998</v>
      </c>
      <c r="BJ25" s="42">
        <v>5.7295719849399998</v>
      </c>
      <c r="BK25" s="42">
        <v>5.7295719849399998</v>
      </c>
      <c r="BL25" s="42">
        <v>5.7295719849399998</v>
      </c>
      <c r="BM25" s="42">
        <v>5.7295719849399998</v>
      </c>
      <c r="BN25" s="42">
        <v>5.7295719849399998</v>
      </c>
      <c r="BO25" s="42">
        <v>5.7295719849399998</v>
      </c>
      <c r="BP25" s="42">
        <v>5.7295719849399998</v>
      </c>
      <c r="BQ25" s="42">
        <v>5.7295719849399998</v>
      </c>
      <c r="BR25" s="42">
        <v>5.7295719849399998</v>
      </c>
      <c r="BS25" s="42">
        <v>5.7295719849399998</v>
      </c>
      <c r="BT25" s="42">
        <v>5.7295719849399998</v>
      </c>
      <c r="BU25" s="42">
        <v>5.7295719849399998</v>
      </c>
    </row>
    <row r="26" spans="1:73" x14ac:dyDescent="0.2">
      <c r="A26" s="103" t="s">
        <v>555</v>
      </c>
      <c r="B26" s="111" t="s">
        <v>1252</v>
      </c>
      <c r="C26" s="25" t="s">
        <v>75</v>
      </c>
      <c r="D26" s="26"/>
      <c r="E26" s="25">
        <v>100</v>
      </c>
      <c r="F26" s="25">
        <v>10</v>
      </c>
      <c r="G26" s="25">
        <v>0.31</v>
      </c>
      <c r="H26" s="25">
        <v>13140</v>
      </c>
      <c r="I26" s="25">
        <v>30</v>
      </c>
      <c r="J26" s="32">
        <f t="shared" si="0"/>
        <v>108624</v>
      </c>
      <c r="K26" s="26"/>
      <c r="L26" s="25">
        <v>14.3</v>
      </c>
      <c r="M26" s="25">
        <v>0.51249999999999996</v>
      </c>
      <c r="N26" s="26"/>
      <c r="O26" s="104">
        <v>1</v>
      </c>
      <c r="P26" s="42">
        <v>2814.8735411037401</v>
      </c>
      <c r="Q26" s="42">
        <v>2814.8735411037401</v>
      </c>
      <c r="R26" s="42">
        <v>2814.8735411037401</v>
      </c>
      <c r="S26" s="42">
        <v>2814.8735411037401</v>
      </c>
      <c r="T26" s="42">
        <v>2814.8735411037401</v>
      </c>
      <c r="U26" s="42">
        <v>2814.8735411037401</v>
      </c>
      <c r="V26" s="42">
        <v>2814.8735411037401</v>
      </c>
      <c r="W26" s="42">
        <v>2814.8735411037401</v>
      </c>
      <c r="X26" s="42">
        <v>928.56031136575996</v>
      </c>
      <c r="Y26" s="42">
        <v>928.56031136575996</v>
      </c>
      <c r="Z26" s="42">
        <v>928.56031136575996</v>
      </c>
      <c r="AA26" s="42">
        <v>928.56031136575996</v>
      </c>
      <c r="AB26" s="42">
        <v>928.56031136575996</v>
      </c>
      <c r="AC26" s="42">
        <v>928.56031136575996</v>
      </c>
      <c r="AD26" s="42">
        <v>928.56031136575996</v>
      </c>
      <c r="AE26" s="42">
        <v>928.56031136575996</v>
      </c>
      <c r="AF26" s="42">
        <v>928.56031136575996</v>
      </c>
      <c r="AG26" s="42">
        <v>928.56031136575996</v>
      </c>
      <c r="AH26" s="42">
        <v>928.56031136575996</v>
      </c>
      <c r="AI26" s="42">
        <v>928.56031136575996</v>
      </c>
      <c r="AJ26" s="42">
        <v>928.56031136575996</v>
      </c>
      <c r="AK26" s="42">
        <v>928.56031136575996</v>
      </c>
      <c r="AL26" s="42">
        <v>928.56031136575996</v>
      </c>
      <c r="AM26" s="42">
        <v>928.56031136575996</v>
      </c>
      <c r="AN26" s="42">
        <v>928.56031136575996</v>
      </c>
      <c r="AO26" s="42">
        <v>928.56031136575996</v>
      </c>
      <c r="AP26" s="42">
        <v>928.56031136575996</v>
      </c>
      <c r="AQ26" s="42">
        <v>928.56031136575996</v>
      </c>
      <c r="AR26" s="42">
        <v>928.56031136575996</v>
      </c>
      <c r="AS26" s="42">
        <v>5.8365758759999986</v>
      </c>
      <c r="AT26" s="42">
        <v>5.8365758759999986</v>
      </c>
      <c r="AU26" s="42">
        <v>5.8365758759999986</v>
      </c>
      <c r="AV26" s="42">
        <v>5.8365758759999986</v>
      </c>
      <c r="AW26" s="42">
        <v>5.8365758759999986</v>
      </c>
      <c r="AX26" s="42">
        <v>5.8365758759999986</v>
      </c>
      <c r="AY26" s="42">
        <v>5.8365758759999986</v>
      </c>
      <c r="AZ26" s="42">
        <v>5.8365758759999986</v>
      </c>
      <c r="BA26" s="42">
        <v>5.8365758759999986</v>
      </c>
      <c r="BB26" s="42">
        <v>5.8365758759999986</v>
      </c>
      <c r="BC26" s="42">
        <v>5.8365758759999986</v>
      </c>
      <c r="BD26" s="42">
        <v>5.8365758759999986</v>
      </c>
      <c r="BE26" s="42">
        <v>5.8365758759999986</v>
      </c>
      <c r="BF26" s="42">
        <v>5.8365758759999986</v>
      </c>
      <c r="BG26" s="42">
        <v>5.8365758759999986</v>
      </c>
      <c r="BH26" s="42">
        <v>5.8365758759999986</v>
      </c>
      <c r="BI26" s="42">
        <v>5.8365758759999986</v>
      </c>
      <c r="BJ26" s="42">
        <v>5.8365758759999986</v>
      </c>
      <c r="BK26" s="42">
        <v>5.8365758759999986</v>
      </c>
      <c r="BL26" s="42">
        <v>5.8365758759999986</v>
      </c>
      <c r="BM26" s="42">
        <v>5.8365758759999986</v>
      </c>
      <c r="BN26" s="42">
        <v>5.8365758759999986</v>
      </c>
      <c r="BO26" s="42">
        <v>5.8365758759999986</v>
      </c>
      <c r="BP26" s="42">
        <v>5.8365758759999986</v>
      </c>
      <c r="BQ26" s="42">
        <v>5.8365758759999986</v>
      </c>
      <c r="BR26" s="42">
        <v>5.8365758759999986</v>
      </c>
      <c r="BS26" s="42">
        <v>5.8365758759999986</v>
      </c>
      <c r="BT26" s="42">
        <v>5.8365758759999986</v>
      </c>
      <c r="BU26" s="42">
        <v>5.8365758759999986</v>
      </c>
    </row>
    <row r="27" spans="1:73" x14ac:dyDescent="0.2">
      <c r="A27" s="103" t="s">
        <v>555</v>
      </c>
      <c r="B27" s="111" t="s">
        <v>1253</v>
      </c>
      <c r="C27" s="25" t="s">
        <v>75</v>
      </c>
      <c r="D27" s="26"/>
      <c r="E27" s="25">
        <v>100</v>
      </c>
      <c r="F27" s="25">
        <v>24</v>
      </c>
      <c r="G27" s="25">
        <v>0.31</v>
      </c>
      <c r="H27" s="25">
        <v>5460</v>
      </c>
      <c r="I27" s="25">
        <v>30</v>
      </c>
      <c r="J27" s="32">
        <f t="shared" si="0"/>
        <v>108326.39999999999</v>
      </c>
      <c r="K27" s="26"/>
      <c r="L27" s="25">
        <v>15</v>
      </c>
      <c r="M27" s="25">
        <v>0.51249999999999996</v>
      </c>
      <c r="N27" s="26"/>
      <c r="O27" s="104">
        <v>1</v>
      </c>
      <c r="P27" s="42">
        <v>2814.8735411037401</v>
      </c>
      <c r="Q27" s="42">
        <v>2814.8735411037401</v>
      </c>
      <c r="R27" s="42">
        <v>2814.8735411037401</v>
      </c>
      <c r="S27" s="42">
        <v>2814.8735411037401</v>
      </c>
      <c r="T27" s="42">
        <v>2814.8735411037401</v>
      </c>
      <c r="U27" s="42">
        <v>2814.8735411037401</v>
      </c>
      <c r="V27" s="42">
        <v>2814.8735411037401</v>
      </c>
      <c r="W27" s="42">
        <v>2814.8735411037401</v>
      </c>
      <c r="X27" s="42">
        <v>928.56031136575996</v>
      </c>
      <c r="Y27" s="42">
        <v>928.56031136575996</v>
      </c>
      <c r="Z27" s="42">
        <v>928.56031136575996</v>
      </c>
      <c r="AA27" s="42">
        <v>928.56031136575996</v>
      </c>
      <c r="AB27" s="42">
        <v>928.56031136575996</v>
      </c>
      <c r="AC27" s="42">
        <v>928.56031136575996</v>
      </c>
      <c r="AD27" s="42">
        <v>928.56031136575996</v>
      </c>
      <c r="AE27" s="42">
        <v>928.56031136575996</v>
      </c>
      <c r="AF27" s="42">
        <v>928.56031136575996</v>
      </c>
      <c r="AG27" s="42">
        <v>928.56031136575996</v>
      </c>
      <c r="AH27" s="42">
        <v>928.56031136575996</v>
      </c>
      <c r="AI27" s="42">
        <v>928.56031136575996</v>
      </c>
      <c r="AJ27" s="42">
        <v>928.56031136575996</v>
      </c>
      <c r="AK27" s="42">
        <v>928.56031136575996</v>
      </c>
      <c r="AL27" s="42">
        <v>928.56031136575996</v>
      </c>
      <c r="AM27" s="42">
        <v>928.56031136575996</v>
      </c>
      <c r="AN27" s="42">
        <v>928.56031136575996</v>
      </c>
      <c r="AO27" s="42">
        <v>928.56031136575996</v>
      </c>
      <c r="AP27" s="42">
        <v>928.56031136575996</v>
      </c>
      <c r="AQ27" s="42">
        <v>928.56031136575996</v>
      </c>
      <c r="AR27" s="42">
        <v>928.56031136575996</v>
      </c>
      <c r="AS27" s="42">
        <v>5.6614785997199997</v>
      </c>
      <c r="AT27" s="42">
        <v>5.6614785997199997</v>
      </c>
      <c r="AU27" s="42">
        <v>5.6614785997199997</v>
      </c>
      <c r="AV27" s="42">
        <v>5.6614785997199997</v>
      </c>
      <c r="AW27" s="42">
        <v>5.6614785997199997</v>
      </c>
      <c r="AX27" s="42">
        <v>5.6614785997199997</v>
      </c>
      <c r="AY27" s="42">
        <v>5.6614785997199997</v>
      </c>
      <c r="AZ27" s="42">
        <v>5.6614785997199997</v>
      </c>
      <c r="BA27" s="42">
        <v>5.6614785997199997</v>
      </c>
      <c r="BB27" s="42">
        <v>5.6614785997199997</v>
      </c>
      <c r="BC27" s="42">
        <v>5.6614785997199997</v>
      </c>
      <c r="BD27" s="42">
        <v>5.6614785997199997</v>
      </c>
      <c r="BE27" s="42">
        <v>5.6614785997199997</v>
      </c>
      <c r="BF27" s="42">
        <v>5.6614785997199997</v>
      </c>
      <c r="BG27" s="42">
        <v>5.6614785997199997</v>
      </c>
      <c r="BH27" s="42">
        <v>5.6614785997199997</v>
      </c>
      <c r="BI27" s="42">
        <v>5.6614785997199997</v>
      </c>
      <c r="BJ27" s="42">
        <v>5.6614785997199997</v>
      </c>
      <c r="BK27" s="42">
        <v>5.6614785997199997</v>
      </c>
      <c r="BL27" s="42">
        <v>5.6614785997199997</v>
      </c>
      <c r="BM27" s="42">
        <v>5.6614785997199997</v>
      </c>
      <c r="BN27" s="42">
        <v>5.6614785997199997</v>
      </c>
      <c r="BO27" s="42">
        <v>5.6614785997199997</v>
      </c>
      <c r="BP27" s="42">
        <v>5.6614785997199997</v>
      </c>
      <c r="BQ27" s="42">
        <v>5.6614785997199997</v>
      </c>
      <c r="BR27" s="42">
        <v>5.6614785997199997</v>
      </c>
      <c r="BS27" s="42">
        <v>5.6614785997199997</v>
      </c>
      <c r="BT27" s="42">
        <v>5.6614785997199997</v>
      </c>
      <c r="BU27" s="42">
        <v>5.6614785997199997</v>
      </c>
    </row>
    <row r="28" spans="1:73" x14ac:dyDescent="0.2">
      <c r="A28" s="103" t="s">
        <v>555</v>
      </c>
      <c r="B28" s="111" t="s">
        <v>1254</v>
      </c>
      <c r="C28" s="25" t="s">
        <v>75</v>
      </c>
      <c r="D28" s="26"/>
      <c r="E28" s="25">
        <v>100</v>
      </c>
      <c r="F28" s="25">
        <v>100</v>
      </c>
      <c r="G28" s="25">
        <v>0.31</v>
      </c>
      <c r="H28" s="25">
        <v>1290</v>
      </c>
      <c r="I28" s="25">
        <v>30</v>
      </c>
      <c r="J28" s="32">
        <f t="shared" si="0"/>
        <v>106640</v>
      </c>
      <c r="K28" s="26"/>
      <c r="L28" s="25">
        <v>18.559999999999999</v>
      </c>
      <c r="M28" s="25">
        <v>0.51249999999999996</v>
      </c>
      <c r="N28" s="26"/>
      <c r="O28" s="104">
        <v>1</v>
      </c>
      <c r="P28" s="42">
        <v>2814.8735411037401</v>
      </c>
      <c r="Q28" s="42">
        <v>2814.8735411037401</v>
      </c>
      <c r="R28" s="42">
        <v>2814.8735411037401</v>
      </c>
      <c r="S28" s="42">
        <v>2814.8735411037401</v>
      </c>
      <c r="T28" s="42">
        <v>2814.8735411037401</v>
      </c>
      <c r="U28" s="42">
        <v>2814.8735411037401</v>
      </c>
      <c r="V28" s="42">
        <v>2814.8735411037401</v>
      </c>
      <c r="W28" s="42">
        <v>2814.8735411037401</v>
      </c>
      <c r="X28" s="42">
        <v>928.56031136575996</v>
      </c>
      <c r="Y28" s="42">
        <v>928.56031136575996</v>
      </c>
      <c r="Z28" s="42">
        <v>928.56031136575996</v>
      </c>
      <c r="AA28" s="42">
        <v>928.56031136575996</v>
      </c>
      <c r="AB28" s="42">
        <v>928.56031136575996</v>
      </c>
      <c r="AC28" s="42">
        <v>928.56031136575996</v>
      </c>
      <c r="AD28" s="42">
        <v>928.56031136575996</v>
      </c>
      <c r="AE28" s="42">
        <v>928.56031136575996</v>
      </c>
      <c r="AF28" s="42">
        <v>928.56031136575996</v>
      </c>
      <c r="AG28" s="42">
        <v>928.56031136575996</v>
      </c>
      <c r="AH28" s="42">
        <v>928.56031136575996</v>
      </c>
      <c r="AI28" s="42">
        <v>928.56031136575996</v>
      </c>
      <c r="AJ28" s="42">
        <v>928.56031136575996</v>
      </c>
      <c r="AK28" s="42">
        <v>928.56031136575996</v>
      </c>
      <c r="AL28" s="42">
        <v>928.56031136575996</v>
      </c>
      <c r="AM28" s="42">
        <v>928.56031136575996</v>
      </c>
      <c r="AN28" s="42">
        <v>928.56031136575996</v>
      </c>
      <c r="AO28" s="42">
        <v>928.56031136575996</v>
      </c>
      <c r="AP28" s="42">
        <v>928.56031136575996</v>
      </c>
      <c r="AQ28" s="42">
        <v>928.56031136575996</v>
      </c>
      <c r="AR28" s="42">
        <v>928.56031136575996</v>
      </c>
      <c r="AS28" s="42">
        <v>5.3793774323800001</v>
      </c>
      <c r="AT28" s="42">
        <v>5.3793774323800001</v>
      </c>
      <c r="AU28" s="42">
        <v>5.3793774323800001</v>
      </c>
      <c r="AV28" s="42">
        <v>5.3793774323800001</v>
      </c>
      <c r="AW28" s="42">
        <v>5.3793774323800001</v>
      </c>
      <c r="AX28" s="42">
        <v>5.3793774323800001</v>
      </c>
      <c r="AY28" s="42">
        <v>5.3793774323800001</v>
      </c>
      <c r="AZ28" s="42">
        <v>5.3793774323800001</v>
      </c>
      <c r="BA28" s="42">
        <v>5.3793774323800001</v>
      </c>
      <c r="BB28" s="42">
        <v>5.3793774323800001</v>
      </c>
      <c r="BC28" s="42">
        <v>5.3793774323800001</v>
      </c>
      <c r="BD28" s="42">
        <v>5.3793774323800001</v>
      </c>
      <c r="BE28" s="42">
        <v>5.3793774323800001</v>
      </c>
      <c r="BF28" s="42">
        <v>5.3793774323800001</v>
      </c>
      <c r="BG28" s="42">
        <v>5.3793774323800001</v>
      </c>
      <c r="BH28" s="42">
        <v>5.3793774323800001</v>
      </c>
      <c r="BI28" s="42">
        <v>5.3793774323800001</v>
      </c>
      <c r="BJ28" s="42">
        <v>5.3793774323800001</v>
      </c>
      <c r="BK28" s="42">
        <v>5.3793774323800001</v>
      </c>
      <c r="BL28" s="42">
        <v>5.3793774323800001</v>
      </c>
      <c r="BM28" s="42">
        <v>5.3793774323800001</v>
      </c>
      <c r="BN28" s="42">
        <v>5.3793774323800001</v>
      </c>
      <c r="BO28" s="42">
        <v>5.3793774323800001</v>
      </c>
      <c r="BP28" s="42">
        <v>5.3793774323800001</v>
      </c>
      <c r="BQ28" s="42">
        <v>5.3793774323800001</v>
      </c>
      <c r="BR28" s="42">
        <v>5.3793774323800001</v>
      </c>
      <c r="BS28" s="42">
        <v>5.3793774323800001</v>
      </c>
      <c r="BT28" s="42">
        <v>5.3793774323800001</v>
      </c>
      <c r="BU28" s="42">
        <v>5.3793774323800001</v>
      </c>
    </row>
    <row r="29" spans="1:73" x14ac:dyDescent="0.2">
      <c r="A29" s="103" t="s">
        <v>555</v>
      </c>
      <c r="B29" s="111" t="s">
        <v>1288</v>
      </c>
      <c r="C29" s="25" t="s">
        <v>75</v>
      </c>
      <c r="D29" s="26"/>
      <c r="E29" s="25">
        <v>1000</v>
      </c>
      <c r="F29" s="25">
        <v>10</v>
      </c>
      <c r="G29" s="25">
        <v>0.8</v>
      </c>
      <c r="H29" s="25">
        <v>26280</v>
      </c>
      <c r="I29" s="25">
        <v>60</v>
      </c>
      <c r="J29" s="32">
        <f t="shared" si="0"/>
        <v>2803200</v>
      </c>
      <c r="K29" s="26"/>
      <c r="L29" s="25">
        <v>27.21</v>
      </c>
      <c r="M29" s="25">
        <v>0.51249999999999996</v>
      </c>
      <c r="N29" s="26"/>
      <c r="O29" s="104">
        <v>1</v>
      </c>
      <c r="P29" s="42">
        <v>2352.6653698568398</v>
      </c>
      <c r="Q29" s="42">
        <v>2352.6653698568398</v>
      </c>
      <c r="R29" s="42">
        <v>2352.6653698568398</v>
      </c>
      <c r="S29" s="42">
        <v>2352.6653698568398</v>
      </c>
      <c r="T29" s="42">
        <v>2352.6653698568398</v>
      </c>
      <c r="U29" s="42">
        <v>2352.6653698568398</v>
      </c>
      <c r="V29" s="42">
        <v>2352.6653698568398</v>
      </c>
      <c r="W29" s="42">
        <v>2352.6653698568398</v>
      </c>
      <c r="X29" s="42">
        <v>2352.6653698568398</v>
      </c>
      <c r="Y29" s="42">
        <v>2352.6653698568398</v>
      </c>
      <c r="Z29" s="42">
        <v>2352.6653698568398</v>
      </c>
      <c r="AA29" s="42">
        <v>2352.6653698568398</v>
      </c>
      <c r="AB29" s="42">
        <v>2352.6653698568398</v>
      </c>
      <c r="AC29" s="42">
        <v>2352.6653698568398</v>
      </c>
      <c r="AD29" s="42">
        <v>2352.6653698568398</v>
      </c>
      <c r="AE29" s="42">
        <v>2352.6653698568398</v>
      </c>
      <c r="AF29" s="42">
        <v>2352.6653698568398</v>
      </c>
      <c r="AG29" s="42">
        <v>2352.6653698568398</v>
      </c>
      <c r="AH29" s="42">
        <v>2352.6653698568398</v>
      </c>
      <c r="AI29" s="42">
        <v>2352.6653698568398</v>
      </c>
      <c r="AJ29" s="42">
        <v>2352.6653698568398</v>
      </c>
      <c r="AK29" s="42">
        <v>2352.6653698568398</v>
      </c>
      <c r="AL29" s="42">
        <v>2352.6653698568398</v>
      </c>
      <c r="AM29" s="42">
        <v>2352.6653698568398</v>
      </c>
      <c r="AN29" s="42">
        <v>2352.6653698568398</v>
      </c>
      <c r="AO29" s="42">
        <v>2352.6653698568398</v>
      </c>
      <c r="AP29" s="42">
        <v>2352.6653698568398</v>
      </c>
      <c r="AQ29" s="42">
        <v>2352.6653698568398</v>
      </c>
      <c r="AR29" s="42">
        <v>2352.6653698568398</v>
      </c>
      <c r="AS29" s="42">
        <v>35.82684825218</v>
      </c>
      <c r="AT29" s="42">
        <v>35.82684825218</v>
      </c>
      <c r="AU29" s="42">
        <v>35.82684825218</v>
      </c>
      <c r="AV29" s="42">
        <v>35.82684825218</v>
      </c>
      <c r="AW29" s="42">
        <v>35.82684825218</v>
      </c>
      <c r="AX29" s="42">
        <v>35.82684825218</v>
      </c>
      <c r="AY29" s="42">
        <v>35.82684825218</v>
      </c>
      <c r="AZ29" s="42">
        <v>35.82684825218</v>
      </c>
      <c r="BA29" s="42">
        <v>35.82684825218</v>
      </c>
      <c r="BB29" s="42">
        <v>35.82684825218</v>
      </c>
      <c r="BC29" s="42">
        <v>35.82684825218</v>
      </c>
      <c r="BD29" s="42">
        <v>35.82684825218</v>
      </c>
      <c r="BE29" s="42">
        <v>35.82684825218</v>
      </c>
      <c r="BF29" s="42">
        <v>35.82684825218</v>
      </c>
      <c r="BG29" s="42">
        <v>35.82684825218</v>
      </c>
      <c r="BH29" s="42">
        <v>35.82684825218</v>
      </c>
      <c r="BI29" s="42">
        <v>35.82684825218</v>
      </c>
      <c r="BJ29" s="42">
        <v>35.82684825218</v>
      </c>
      <c r="BK29" s="42">
        <v>35.82684825218</v>
      </c>
      <c r="BL29" s="42">
        <v>35.82684825218</v>
      </c>
      <c r="BM29" s="42">
        <v>35.82684825218</v>
      </c>
      <c r="BN29" s="42">
        <v>35.82684825218</v>
      </c>
      <c r="BO29" s="42">
        <v>35.82684825218</v>
      </c>
      <c r="BP29" s="42">
        <v>35.82684825218</v>
      </c>
      <c r="BQ29" s="42">
        <v>35.82684825218</v>
      </c>
      <c r="BR29" s="42">
        <v>35.82684825218</v>
      </c>
      <c r="BS29" s="42">
        <v>35.82684825218</v>
      </c>
      <c r="BT29" s="42">
        <v>35.82684825218</v>
      </c>
      <c r="BU29" s="42">
        <v>35.82684825218</v>
      </c>
    </row>
    <row r="30" spans="1:73" x14ac:dyDescent="0.2">
      <c r="A30" s="103" t="s">
        <v>555</v>
      </c>
      <c r="B30" s="111" t="s">
        <v>1289</v>
      </c>
      <c r="C30" s="25" t="s">
        <v>75</v>
      </c>
      <c r="D30" s="26"/>
      <c r="E30" s="25">
        <v>1000</v>
      </c>
      <c r="F30" s="25">
        <v>24</v>
      </c>
      <c r="G30" s="25">
        <v>0.8</v>
      </c>
      <c r="H30" s="25">
        <v>10920</v>
      </c>
      <c r="I30" s="25">
        <v>60</v>
      </c>
      <c r="J30" s="32">
        <f t="shared" si="0"/>
        <v>2795520</v>
      </c>
      <c r="K30" s="26"/>
      <c r="L30" s="25">
        <v>27.21</v>
      </c>
      <c r="M30" s="25">
        <v>0.51249999999999996</v>
      </c>
      <c r="N30" s="26"/>
      <c r="O30" s="104">
        <v>1</v>
      </c>
      <c r="P30" s="42">
        <v>2405.3404671377398</v>
      </c>
      <c r="Q30" s="42">
        <v>2405.3404671377398</v>
      </c>
      <c r="R30" s="42">
        <v>2405.3404671377398</v>
      </c>
      <c r="S30" s="42">
        <v>2405.3404671377398</v>
      </c>
      <c r="T30" s="42">
        <v>2405.3404671377398</v>
      </c>
      <c r="U30" s="42">
        <v>2405.3404671377398</v>
      </c>
      <c r="V30" s="42">
        <v>2405.3404671377398</v>
      </c>
      <c r="W30" s="42">
        <v>2405.3404671377398</v>
      </c>
      <c r="X30" s="42">
        <v>2405.3404671377398</v>
      </c>
      <c r="Y30" s="42">
        <v>2405.3404671377398</v>
      </c>
      <c r="Z30" s="42">
        <v>2405.3404671377398</v>
      </c>
      <c r="AA30" s="42">
        <v>2405.3404671377398</v>
      </c>
      <c r="AB30" s="42">
        <v>2405.3404671377398</v>
      </c>
      <c r="AC30" s="42">
        <v>2405.3404671377398</v>
      </c>
      <c r="AD30" s="42">
        <v>2405.3404671377398</v>
      </c>
      <c r="AE30" s="42">
        <v>2405.3404671377398</v>
      </c>
      <c r="AF30" s="42">
        <v>2405.3404671377398</v>
      </c>
      <c r="AG30" s="42">
        <v>2405.3404671377398</v>
      </c>
      <c r="AH30" s="42">
        <v>2405.3404671377398</v>
      </c>
      <c r="AI30" s="42">
        <v>2405.3404671377398</v>
      </c>
      <c r="AJ30" s="42">
        <v>2405.3404671377398</v>
      </c>
      <c r="AK30" s="42">
        <v>2405.3404671377398</v>
      </c>
      <c r="AL30" s="42">
        <v>2405.3404671377398</v>
      </c>
      <c r="AM30" s="42">
        <v>2405.3404671377398</v>
      </c>
      <c r="AN30" s="42">
        <v>2405.3404671377398</v>
      </c>
      <c r="AO30" s="42">
        <v>2405.3404671377398</v>
      </c>
      <c r="AP30" s="42">
        <v>2405.3404671377398</v>
      </c>
      <c r="AQ30" s="42">
        <v>2405.3404671377398</v>
      </c>
      <c r="AR30" s="42">
        <v>2405.3404671377398</v>
      </c>
      <c r="AS30" s="42">
        <v>19.357976655400002</v>
      </c>
      <c r="AT30" s="42">
        <v>19.357976655400002</v>
      </c>
      <c r="AU30" s="42">
        <v>19.357976655400002</v>
      </c>
      <c r="AV30" s="42">
        <v>19.357976655400002</v>
      </c>
      <c r="AW30" s="42">
        <v>19.357976655400002</v>
      </c>
      <c r="AX30" s="42">
        <v>19.357976655400002</v>
      </c>
      <c r="AY30" s="42">
        <v>19.357976655400002</v>
      </c>
      <c r="AZ30" s="42">
        <v>19.357976655400002</v>
      </c>
      <c r="BA30" s="42">
        <v>19.357976655400002</v>
      </c>
      <c r="BB30" s="42">
        <v>19.357976655400002</v>
      </c>
      <c r="BC30" s="42">
        <v>19.357976655400002</v>
      </c>
      <c r="BD30" s="42">
        <v>19.357976655400002</v>
      </c>
      <c r="BE30" s="42">
        <v>19.357976655400002</v>
      </c>
      <c r="BF30" s="42">
        <v>19.357976655400002</v>
      </c>
      <c r="BG30" s="42">
        <v>19.357976655400002</v>
      </c>
      <c r="BH30" s="42">
        <v>19.357976655400002</v>
      </c>
      <c r="BI30" s="42">
        <v>19.357976655400002</v>
      </c>
      <c r="BJ30" s="42">
        <v>19.357976655400002</v>
      </c>
      <c r="BK30" s="42">
        <v>19.357976655400002</v>
      </c>
      <c r="BL30" s="42">
        <v>19.357976655400002</v>
      </c>
      <c r="BM30" s="42">
        <v>19.357976655400002</v>
      </c>
      <c r="BN30" s="42">
        <v>19.357976655400002</v>
      </c>
      <c r="BO30" s="42">
        <v>19.357976655400002</v>
      </c>
      <c r="BP30" s="42">
        <v>19.357976655400002</v>
      </c>
      <c r="BQ30" s="42">
        <v>19.357976655400002</v>
      </c>
      <c r="BR30" s="42">
        <v>19.357976655400002</v>
      </c>
      <c r="BS30" s="42">
        <v>19.357976655400002</v>
      </c>
      <c r="BT30" s="42">
        <v>19.357976655400002</v>
      </c>
      <c r="BU30" s="42">
        <v>19.357976655400002</v>
      </c>
    </row>
    <row r="31" spans="1:73" x14ac:dyDescent="0.2">
      <c r="A31" s="103" t="s">
        <v>555</v>
      </c>
      <c r="B31" s="111" t="s">
        <v>1290</v>
      </c>
      <c r="C31" s="25" t="s">
        <v>75</v>
      </c>
      <c r="D31" s="26"/>
      <c r="E31" s="25">
        <v>1000</v>
      </c>
      <c r="F31" s="25">
        <v>100</v>
      </c>
      <c r="G31" s="25">
        <v>0.8</v>
      </c>
      <c r="H31" s="25">
        <v>2580</v>
      </c>
      <c r="I31" s="25">
        <v>60</v>
      </c>
      <c r="J31" s="32">
        <f t="shared" si="0"/>
        <v>2752000</v>
      </c>
      <c r="K31" s="26"/>
      <c r="L31" s="25">
        <v>27.21</v>
      </c>
      <c r="M31" s="25">
        <v>0.51249999999999996</v>
      </c>
      <c r="N31" s="26"/>
      <c r="O31" s="104">
        <v>1</v>
      </c>
      <c r="P31" s="42">
        <v>2555.4182881626198</v>
      </c>
      <c r="Q31" s="42">
        <v>2555.4182881626198</v>
      </c>
      <c r="R31" s="42">
        <v>2555.4182881626198</v>
      </c>
      <c r="S31" s="42">
        <v>2555.4182881626198</v>
      </c>
      <c r="T31" s="42">
        <v>2555.4182881626198</v>
      </c>
      <c r="U31" s="42">
        <v>2555.4182881626198</v>
      </c>
      <c r="V31" s="42">
        <v>2555.4182881626198</v>
      </c>
      <c r="W31" s="42">
        <v>2555.4182881626198</v>
      </c>
      <c r="X31" s="42">
        <v>2555.4182881626198</v>
      </c>
      <c r="Y31" s="42">
        <v>2555.4182881626198</v>
      </c>
      <c r="Z31" s="42">
        <v>2555.4182881626198</v>
      </c>
      <c r="AA31" s="42">
        <v>2555.4182881626198</v>
      </c>
      <c r="AB31" s="42">
        <v>2555.4182881626198</v>
      </c>
      <c r="AC31" s="42">
        <v>2555.4182881626198</v>
      </c>
      <c r="AD31" s="42">
        <v>2555.4182881626198</v>
      </c>
      <c r="AE31" s="42">
        <v>2555.4182881626198</v>
      </c>
      <c r="AF31" s="42">
        <v>2555.4182881626198</v>
      </c>
      <c r="AG31" s="42">
        <v>2555.4182881626198</v>
      </c>
      <c r="AH31" s="42">
        <v>2555.4182881626198</v>
      </c>
      <c r="AI31" s="42">
        <v>2555.4182881626198</v>
      </c>
      <c r="AJ31" s="42">
        <v>2555.4182881626198</v>
      </c>
      <c r="AK31" s="42">
        <v>2555.4182881626198</v>
      </c>
      <c r="AL31" s="42">
        <v>2555.4182881626198</v>
      </c>
      <c r="AM31" s="42">
        <v>2555.4182881626198</v>
      </c>
      <c r="AN31" s="42">
        <v>2555.4182881626198</v>
      </c>
      <c r="AO31" s="42">
        <v>2555.4182881626198</v>
      </c>
      <c r="AP31" s="42">
        <v>2555.4182881626198</v>
      </c>
      <c r="AQ31" s="42">
        <v>2555.4182881626198</v>
      </c>
      <c r="AR31" s="42">
        <v>2555.4182881626198</v>
      </c>
      <c r="AS31" s="42">
        <v>7.675097276939999</v>
      </c>
      <c r="AT31" s="42">
        <v>7.675097276939999</v>
      </c>
      <c r="AU31" s="42">
        <v>7.675097276939999</v>
      </c>
      <c r="AV31" s="42">
        <v>7.675097276939999</v>
      </c>
      <c r="AW31" s="42">
        <v>7.675097276939999</v>
      </c>
      <c r="AX31" s="42">
        <v>7.675097276939999</v>
      </c>
      <c r="AY31" s="42">
        <v>7.675097276939999</v>
      </c>
      <c r="AZ31" s="42">
        <v>7.675097276939999</v>
      </c>
      <c r="BA31" s="42">
        <v>7.675097276939999</v>
      </c>
      <c r="BB31" s="42">
        <v>7.675097276939999</v>
      </c>
      <c r="BC31" s="42">
        <v>7.675097276939999</v>
      </c>
      <c r="BD31" s="42">
        <v>7.675097276939999</v>
      </c>
      <c r="BE31" s="42">
        <v>7.675097276939999</v>
      </c>
      <c r="BF31" s="42">
        <v>7.675097276939999</v>
      </c>
      <c r="BG31" s="42">
        <v>7.675097276939999</v>
      </c>
      <c r="BH31" s="42">
        <v>7.675097276939999</v>
      </c>
      <c r="BI31" s="42">
        <v>7.675097276939999</v>
      </c>
      <c r="BJ31" s="42">
        <v>7.675097276939999</v>
      </c>
      <c r="BK31" s="42">
        <v>7.675097276939999</v>
      </c>
      <c r="BL31" s="42">
        <v>7.675097276939999</v>
      </c>
      <c r="BM31" s="42">
        <v>7.675097276939999</v>
      </c>
      <c r="BN31" s="42">
        <v>7.675097276939999</v>
      </c>
      <c r="BO31" s="42">
        <v>7.675097276939999</v>
      </c>
      <c r="BP31" s="42">
        <v>7.675097276939999</v>
      </c>
      <c r="BQ31" s="42">
        <v>7.675097276939999</v>
      </c>
      <c r="BR31" s="42">
        <v>7.675097276939999</v>
      </c>
      <c r="BS31" s="42">
        <v>7.675097276939999</v>
      </c>
      <c r="BT31" s="42">
        <v>7.675097276939999</v>
      </c>
      <c r="BU31" s="42">
        <v>7.675097276939999</v>
      </c>
    </row>
    <row r="32" spans="1:73" x14ac:dyDescent="0.2">
      <c r="A32" s="103" t="s">
        <v>555</v>
      </c>
      <c r="B32" s="111" t="s">
        <v>1255</v>
      </c>
      <c r="C32" s="25" t="s">
        <v>75</v>
      </c>
      <c r="D32" s="26"/>
      <c r="E32" s="25">
        <v>100</v>
      </c>
      <c r="F32" s="25">
        <v>10</v>
      </c>
      <c r="G32" s="25">
        <v>0.52</v>
      </c>
      <c r="H32" s="25">
        <v>17520</v>
      </c>
      <c r="I32" s="25">
        <v>40</v>
      </c>
      <c r="J32" s="32">
        <f t="shared" si="0"/>
        <v>182208</v>
      </c>
      <c r="K32" s="26"/>
      <c r="L32" s="25">
        <v>34.119999999999997</v>
      </c>
      <c r="M32" s="25">
        <v>0</v>
      </c>
      <c r="N32" s="26"/>
      <c r="O32" s="104">
        <v>1</v>
      </c>
      <c r="P32" s="42">
        <v>1426.0116732772401</v>
      </c>
      <c r="Q32" s="42">
        <v>1426.0116732772401</v>
      </c>
      <c r="R32" s="42">
        <v>1426.0116732772401</v>
      </c>
      <c r="S32" s="42">
        <v>1426.0116732772401</v>
      </c>
      <c r="T32" s="42">
        <v>1426.0116732772401</v>
      </c>
      <c r="U32" s="42">
        <v>1426.0116732772401</v>
      </c>
      <c r="V32" s="42">
        <v>1426.0116732772401</v>
      </c>
      <c r="W32" s="42">
        <v>1426.0116732772401</v>
      </c>
      <c r="X32" s="42">
        <v>1345.95330751144</v>
      </c>
      <c r="Y32" s="42">
        <v>1345.95330751144</v>
      </c>
      <c r="Z32" s="42">
        <v>1345.95330751144</v>
      </c>
      <c r="AA32" s="42">
        <v>1345.95330751144</v>
      </c>
      <c r="AB32" s="42">
        <v>1345.95330751144</v>
      </c>
      <c r="AC32" s="42">
        <v>1345.95330751144</v>
      </c>
      <c r="AD32" s="42">
        <v>1345.95330751144</v>
      </c>
      <c r="AE32" s="42">
        <v>1345.95330751144</v>
      </c>
      <c r="AF32" s="42">
        <v>1345.95330751144</v>
      </c>
      <c r="AG32" s="42">
        <v>1345.95330751144</v>
      </c>
      <c r="AH32" s="42">
        <v>1345.95330751144</v>
      </c>
      <c r="AI32" s="42">
        <v>1345.95330751144</v>
      </c>
      <c r="AJ32" s="42">
        <v>1345.95330751144</v>
      </c>
      <c r="AK32" s="42">
        <v>1345.95330751144</v>
      </c>
      <c r="AL32" s="42">
        <v>1345.95330751144</v>
      </c>
      <c r="AM32" s="42">
        <v>1345.95330751144</v>
      </c>
      <c r="AN32" s="42">
        <v>1345.95330751144</v>
      </c>
      <c r="AO32" s="42">
        <v>1345.95330751144</v>
      </c>
      <c r="AP32" s="42">
        <v>1345.95330751144</v>
      </c>
      <c r="AQ32" s="42">
        <v>1345.95330751144</v>
      </c>
      <c r="AR32" s="42">
        <v>1345.95330751144</v>
      </c>
      <c r="AS32" s="42">
        <v>151.6536965114</v>
      </c>
      <c r="AT32" s="42">
        <v>151.6536965114</v>
      </c>
      <c r="AU32" s="42">
        <v>151.6536965114</v>
      </c>
      <c r="AV32" s="42">
        <v>151.6536965114</v>
      </c>
      <c r="AW32" s="42">
        <v>151.6536965114</v>
      </c>
      <c r="AX32" s="42">
        <v>151.6536965114</v>
      </c>
      <c r="AY32" s="42">
        <v>151.6536965114</v>
      </c>
      <c r="AZ32" s="42">
        <v>151.6536965114</v>
      </c>
      <c r="BA32" s="42">
        <v>139.03696499278001</v>
      </c>
      <c r="BB32" s="42">
        <v>139.03696499278001</v>
      </c>
      <c r="BC32" s="42">
        <v>139.03696499278001</v>
      </c>
      <c r="BD32" s="42">
        <v>139.03696499278001</v>
      </c>
      <c r="BE32" s="42">
        <v>139.03696499278001</v>
      </c>
      <c r="BF32" s="42">
        <v>139.03696499278001</v>
      </c>
      <c r="BG32" s="42">
        <v>139.03696499278001</v>
      </c>
      <c r="BH32" s="42">
        <v>139.03696499278001</v>
      </c>
      <c r="BI32" s="42">
        <v>139.03696499278001</v>
      </c>
      <c r="BJ32" s="42">
        <v>139.03696499278001</v>
      </c>
      <c r="BK32" s="42">
        <v>139.03696499278001</v>
      </c>
      <c r="BL32" s="42">
        <v>139.03696499278001</v>
      </c>
      <c r="BM32" s="42">
        <v>139.03696499278001</v>
      </c>
      <c r="BN32" s="42">
        <v>139.03696499278001</v>
      </c>
      <c r="BO32" s="42">
        <v>139.03696499278001</v>
      </c>
      <c r="BP32" s="42">
        <v>139.03696499278001</v>
      </c>
      <c r="BQ32" s="42">
        <v>139.03696499278001</v>
      </c>
      <c r="BR32" s="42">
        <v>139.03696499278001</v>
      </c>
      <c r="BS32" s="42">
        <v>139.03696499278001</v>
      </c>
      <c r="BT32" s="42">
        <v>139.03696499278001</v>
      </c>
      <c r="BU32" s="42">
        <v>139.03696499278001</v>
      </c>
    </row>
    <row r="33" spans="1:73" x14ac:dyDescent="0.2">
      <c r="A33" s="103" t="s">
        <v>555</v>
      </c>
      <c r="B33" s="111" t="s">
        <v>1256</v>
      </c>
      <c r="C33" s="25" t="s">
        <v>75</v>
      </c>
      <c r="D33" s="26"/>
      <c r="E33" s="25">
        <v>100</v>
      </c>
      <c r="F33" s="25">
        <v>24</v>
      </c>
      <c r="G33" s="25">
        <v>0.51</v>
      </c>
      <c r="H33" s="25">
        <v>7280</v>
      </c>
      <c r="I33" s="25">
        <v>40</v>
      </c>
      <c r="J33" s="32">
        <f t="shared" si="0"/>
        <v>178214.39999999999</v>
      </c>
      <c r="K33" s="26"/>
      <c r="L33" s="25">
        <v>43.73</v>
      </c>
      <c r="M33" s="25">
        <v>0</v>
      </c>
      <c r="N33" s="26"/>
      <c r="O33" s="104">
        <v>1</v>
      </c>
      <c r="P33" s="42">
        <v>1582.85992231828</v>
      </c>
      <c r="Q33" s="42">
        <v>1582.85992231828</v>
      </c>
      <c r="R33" s="42">
        <v>1582.85992231828</v>
      </c>
      <c r="S33" s="42">
        <v>1582.85992231828</v>
      </c>
      <c r="T33" s="42">
        <v>1582.85992231828</v>
      </c>
      <c r="U33" s="42">
        <v>1582.85992231828</v>
      </c>
      <c r="V33" s="42">
        <v>1582.85992231828</v>
      </c>
      <c r="W33" s="42">
        <v>1582.85992231828</v>
      </c>
      <c r="X33" s="42">
        <v>1493.83268495636</v>
      </c>
      <c r="Y33" s="42">
        <v>1493.83268495636</v>
      </c>
      <c r="Z33" s="42">
        <v>1493.83268495636</v>
      </c>
      <c r="AA33" s="42">
        <v>1493.83268495636</v>
      </c>
      <c r="AB33" s="42">
        <v>1493.83268495636</v>
      </c>
      <c r="AC33" s="42">
        <v>1493.83268495636</v>
      </c>
      <c r="AD33" s="42">
        <v>1493.83268495636</v>
      </c>
      <c r="AE33" s="42">
        <v>1493.83268495636</v>
      </c>
      <c r="AF33" s="42">
        <v>1493.83268495636</v>
      </c>
      <c r="AG33" s="42">
        <v>1493.83268495636</v>
      </c>
      <c r="AH33" s="42">
        <v>1493.83268495636</v>
      </c>
      <c r="AI33" s="42">
        <v>1493.83268495636</v>
      </c>
      <c r="AJ33" s="42">
        <v>1493.83268495636</v>
      </c>
      <c r="AK33" s="42">
        <v>1493.83268495636</v>
      </c>
      <c r="AL33" s="42">
        <v>1493.83268495636</v>
      </c>
      <c r="AM33" s="42">
        <v>1493.83268495636</v>
      </c>
      <c r="AN33" s="42">
        <v>1493.83268495636</v>
      </c>
      <c r="AO33" s="42">
        <v>1493.83268495636</v>
      </c>
      <c r="AP33" s="42">
        <v>1493.83268495636</v>
      </c>
      <c r="AQ33" s="42">
        <v>1493.83268495636</v>
      </c>
      <c r="AR33" s="42">
        <v>1493.83268495636</v>
      </c>
      <c r="AS33" s="42">
        <v>98.336575884140004</v>
      </c>
      <c r="AT33" s="42">
        <v>98.336575884140004</v>
      </c>
      <c r="AU33" s="42">
        <v>98.336575884140004</v>
      </c>
      <c r="AV33" s="42">
        <v>98.336575884140004</v>
      </c>
      <c r="AW33" s="42">
        <v>98.336575884140004</v>
      </c>
      <c r="AX33" s="42">
        <v>98.336575884140004</v>
      </c>
      <c r="AY33" s="42">
        <v>98.336575884140004</v>
      </c>
      <c r="AZ33" s="42">
        <v>98.336575884140004</v>
      </c>
      <c r="BA33" s="42">
        <v>88.414396894939998</v>
      </c>
      <c r="BB33" s="42">
        <v>88.414396894939998</v>
      </c>
      <c r="BC33" s="42">
        <v>88.414396894939998</v>
      </c>
      <c r="BD33" s="42">
        <v>88.414396894939998</v>
      </c>
      <c r="BE33" s="42">
        <v>88.414396894939998</v>
      </c>
      <c r="BF33" s="42">
        <v>88.414396894939998</v>
      </c>
      <c r="BG33" s="42">
        <v>88.414396894939998</v>
      </c>
      <c r="BH33" s="42">
        <v>88.414396894939998</v>
      </c>
      <c r="BI33" s="42">
        <v>88.414396894939998</v>
      </c>
      <c r="BJ33" s="42">
        <v>88.414396894939998</v>
      </c>
      <c r="BK33" s="42">
        <v>88.414396894939998</v>
      </c>
      <c r="BL33" s="42">
        <v>88.414396894939998</v>
      </c>
      <c r="BM33" s="42">
        <v>88.414396894939998</v>
      </c>
      <c r="BN33" s="42">
        <v>88.414396894939998</v>
      </c>
      <c r="BO33" s="42">
        <v>88.414396894939998</v>
      </c>
      <c r="BP33" s="42">
        <v>88.414396894939998</v>
      </c>
      <c r="BQ33" s="42">
        <v>88.414396894939998</v>
      </c>
      <c r="BR33" s="42">
        <v>88.414396894939998</v>
      </c>
      <c r="BS33" s="42">
        <v>88.414396894939998</v>
      </c>
      <c r="BT33" s="42">
        <v>88.414396894939998</v>
      </c>
      <c r="BU33" s="42">
        <v>88.414396894939998</v>
      </c>
    </row>
    <row r="34" spans="1:73" x14ac:dyDescent="0.2">
      <c r="A34" s="103" t="s">
        <v>555</v>
      </c>
      <c r="B34" s="111" t="s">
        <v>1257</v>
      </c>
      <c r="C34" s="25" t="s">
        <v>75</v>
      </c>
      <c r="D34" s="26"/>
      <c r="E34" s="25">
        <v>100</v>
      </c>
      <c r="F34" s="25">
        <v>100</v>
      </c>
      <c r="G34" s="25">
        <v>0.5</v>
      </c>
      <c r="H34" s="25">
        <v>1720</v>
      </c>
      <c r="I34" s="25">
        <v>40</v>
      </c>
      <c r="J34" s="32">
        <f t="shared" si="0"/>
        <v>172000</v>
      </c>
      <c r="K34" s="26"/>
      <c r="L34" s="25">
        <v>93.99</v>
      </c>
      <c r="M34" s="25">
        <v>0</v>
      </c>
      <c r="N34" s="26"/>
      <c r="O34" s="104">
        <v>1</v>
      </c>
      <c r="P34" s="42">
        <v>1585.8852141473401</v>
      </c>
      <c r="Q34" s="42">
        <v>1585.8852141473401</v>
      </c>
      <c r="R34" s="42">
        <v>1585.8852141473401</v>
      </c>
      <c r="S34" s="42">
        <v>1585.8852141473401</v>
      </c>
      <c r="T34" s="42">
        <v>1585.8852141473401</v>
      </c>
      <c r="U34" s="42">
        <v>1585.8852141473401</v>
      </c>
      <c r="V34" s="42">
        <v>1585.8852141473401</v>
      </c>
      <c r="W34" s="42">
        <v>1585.8852141473401</v>
      </c>
      <c r="X34" s="42">
        <v>1496.3326849565799</v>
      </c>
      <c r="Y34" s="42">
        <v>1496.3326849565799</v>
      </c>
      <c r="Z34" s="42">
        <v>1496.3326849565799</v>
      </c>
      <c r="AA34" s="42">
        <v>1496.3326849565799</v>
      </c>
      <c r="AB34" s="42">
        <v>1496.3326849565799</v>
      </c>
      <c r="AC34" s="42">
        <v>1496.3326849565799</v>
      </c>
      <c r="AD34" s="42">
        <v>1496.3326849565799</v>
      </c>
      <c r="AE34" s="42">
        <v>1496.3326849565799</v>
      </c>
      <c r="AF34" s="42">
        <v>1496.3326849565799</v>
      </c>
      <c r="AG34" s="42">
        <v>1496.3326849565799</v>
      </c>
      <c r="AH34" s="42">
        <v>1496.3326849565799</v>
      </c>
      <c r="AI34" s="42">
        <v>1496.3326849565799</v>
      </c>
      <c r="AJ34" s="42">
        <v>1496.3326849565799</v>
      </c>
      <c r="AK34" s="42">
        <v>1496.3326849565799</v>
      </c>
      <c r="AL34" s="42">
        <v>1496.3326849565799</v>
      </c>
      <c r="AM34" s="42">
        <v>1496.3326849565799</v>
      </c>
      <c r="AN34" s="42">
        <v>1496.3326849565799</v>
      </c>
      <c r="AO34" s="42">
        <v>1496.3326849565799</v>
      </c>
      <c r="AP34" s="42">
        <v>1496.3326849565799</v>
      </c>
      <c r="AQ34" s="42">
        <v>1496.3326849565799</v>
      </c>
      <c r="AR34" s="42">
        <v>1496.3326849565799</v>
      </c>
      <c r="AS34" s="42">
        <v>62.821011678679987</v>
      </c>
      <c r="AT34" s="42">
        <v>62.821011678679987</v>
      </c>
      <c r="AU34" s="42">
        <v>62.821011678679987</v>
      </c>
      <c r="AV34" s="42">
        <v>62.821011678679987</v>
      </c>
      <c r="AW34" s="42">
        <v>62.821011678679987</v>
      </c>
      <c r="AX34" s="42">
        <v>62.821011678679987</v>
      </c>
      <c r="AY34" s="42">
        <v>62.821011678679987</v>
      </c>
      <c r="AZ34" s="42">
        <v>62.821011678679987</v>
      </c>
      <c r="BA34" s="42">
        <v>55.155642028199999</v>
      </c>
      <c r="BB34" s="42">
        <v>55.155642028199999</v>
      </c>
      <c r="BC34" s="42">
        <v>55.155642028199999</v>
      </c>
      <c r="BD34" s="42">
        <v>55.155642028199999</v>
      </c>
      <c r="BE34" s="42">
        <v>55.155642028199999</v>
      </c>
      <c r="BF34" s="42">
        <v>55.155642028199999</v>
      </c>
      <c r="BG34" s="42">
        <v>55.155642028199999</v>
      </c>
      <c r="BH34" s="42">
        <v>55.155642028199999</v>
      </c>
      <c r="BI34" s="42">
        <v>55.155642028199999</v>
      </c>
      <c r="BJ34" s="42">
        <v>55.155642028199999</v>
      </c>
      <c r="BK34" s="42">
        <v>55.155642028199999</v>
      </c>
      <c r="BL34" s="42">
        <v>55.155642028199999</v>
      </c>
      <c r="BM34" s="42">
        <v>55.155642028199999</v>
      </c>
      <c r="BN34" s="42">
        <v>55.155642028199999</v>
      </c>
      <c r="BO34" s="42">
        <v>55.155642028199999</v>
      </c>
      <c r="BP34" s="42">
        <v>55.155642028199999</v>
      </c>
      <c r="BQ34" s="42">
        <v>55.155642028199999</v>
      </c>
      <c r="BR34" s="42">
        <v>55.155642028199999</v>
      </c>
      <c r="BS34" s="42">
        <v>55.155642028199999</v>
      </c>
      <c r="BT34" s="42">
        <v>55.155642028199999</v>
      </c>
      <c r="BU34" s="42">
        <v>55.155642028199999</v>
      </c>
    </row>
    <row r="35" spans="1:73" x14ac:dyDescent="0.2">
      <c r="A35" s="103" t="s">
        <v>555</v>
      </c>
      <c r="B35" s="111" t="s">
        <v>1258</v>
      </c>
      <c r="C35" s="25" t="s">
        <v>75</v>
      </c>
      <c r="D35" s="26"/>
      <c r="E35" s="25">
        <v>100</v>
      </c>
      <c r="F35" s="25">
        <v>2</v>
      </c>
      <c r="G35" s="25">
        <v>0.85</v>
      </c>
      <c r="H35" s="25">
        <v>5005</v>
      </c>
      <c r="I35" s="25">
        <v>16</v>
      </c>
      <c r="J35" s="32">
        <f t="shared" si="0"/>
        <v>42542.5</v>
      </c>
      <c r="K35" s="26"/>
      <c r="L35" s="25">
        <v>2.17</v>
      </c>
      <c r="M35" s="25">
        <v>0.51249999999999996</v>
      </c>
      <c r="N35" s="26"/>
      <c r="O35" s="104">
        <v>1</v>
      </c>
      <c r="P35" s="42">
        <v>77.821011679999998</v>
      </c>
      <c r="Q35" s="42">
        <v>75.875486387999999</v>
      </c>
      <c r="R35" s="42">
        <v>74.902723741999992</v>
      </c>
      <c r="S35" s="42">
        <v>73.929961096</v>
      </c>
      <c r="T35" s="42">
        <v>72.957198449999993</v>
      </c>
      <c r="U35" s="42">
        <v>71.984435804</v>
      </c>
      <c r="V35" s="42">
        <v>71.011673157999994</v>
      </c>
      <c r="W35" s="42">
        <v>70.038910512000001</v>
      </c>
      <c r="X35" s="42">
        <v>69.066147865999994</v>
      </c>
      <c r="Y35" s="42">
        <v>69.066147865999994</v>
      </c>
      <c r="Z35" s="42">
        <v>68.093385220000002</v>
      </c>
      <c r="AA35" s="42">
        <v>67.120622573999995</v>
      </c>
      <c r="AB35" s="42">
        <v>66.147859928000003</v>
      </c>
      <c r="AC35" s="42">
        <v>66.147859928000003</v>
      </c>
      <c r="AD35" s="42">
        <v>65.175097281999996</v>
      </c>
      <c r="AE35" s="42">
        <v>64.202334636000003</v>
      </c>
      <c r="AF35" s="42">
        <v>64.202334636000003</v>
      </c>
      <c r="AG35" s="42">
        <v>63.229571989999997</v>
      </c>
      <c r="AH35" s="42">
        <v>63.229571989999997</v>
      </c>
      <c r="AI35" s="42">
        <v>62.256809343999997</v>
      </c>
      <c r="AJ35" s="42">
        <v>61.284046697999997</v>
      </c>
      <c r="AK35" s="42">
        <v>61.284046697999997</v>
      </c>
      <c r="AL35" s="42">
        <v>60.311284051999998</v>
      </c>
      <c r="AM35" s="42">
        <v>59.338521405999998</v>
      </c>
      <c r="AN35" s="42">
        <v>59.338521405999998</v>
      </c>
      <c r="AO35" s="42">
        <v>58.365758759999999</v>
      </c>
      <c r="AP35" s="42">
        <v>58.365758759999999</v>
      </c>
      <c r="AQ35" s="42">
        <v>57.392996113999999</v>
      </c>
      <c r="AR35" s="42">
        <v>57.392996113999999</v>
      </c>
      <c r="AS35" s="42">
        <v>321.01167318</v>
      </c>
      <c r="AT35" s="42">
        <v>307.39299613600002</v>
      </c>
      <c r="AU35" s="42">
        <v>296.69260702999998</v>
      </c>
      <c r="AV35" s="42">
        <v>287.937743216</v>
      </c>
      <c r="AW35" s="42">
        <v>279.18287940200003</v>
      </c>
      <c r="AX35" s="42">
        <v>272.37354088000001</v>
      </c>
      <c r="AY35" s="42">
        <v>265.56420235799999</v>
      </c>
      <c r="AZ35" s="42">
        <v>258.75486383600003</v>
      </c>
      <c r="BA35" s="42">
        <v>252.91828795999999</v>
      </c>
      <c r="BB35" s="42">
        <v>247.081712084</v>
      </c>
      <c r="BC35" s="42">
        <v>241.24513620799999</v>
      </c>
      <c r="BD35" s="42">
        <v>236.38132297799999</v>
      </c>
      <c r="BE35" s="42">
        <v>231.51750974800001</v>
      </c>
      <c r="BF35" s="42">
        <v>226.653696518</v>
      </c>
      <c r="BG35" s="42">
        <v>221.789883288</v>
      </c>
      <c r="BH35" s="42">
        <v>217.898832704</v>
      </c>
      <c r="BI35" s="42">
        <v>213.03501947399999</v>
      </c>
      <c r="BJ35" s="42">
        <v>209.14396889</v>
      </c>
      <c r="BK35" s="42">
        <v>204.28015565999999</v>
      </c>
      <c r="BL35" s="42">
        <v>200.38910507599999</v>
      </c>
      <c r="BM35" s="42">
        <v>196.49805449199999</v>
      </c>
      <c r="BN35" s="42">
        <v>192.607003908</v>
      </c>
      <c r="BO35" s="42">
        <v>188.715953324</v>
      </c>
      <c r="BP35" s="42">
        <v>185.79766538600001</v>
      </c>
      <c r="BQ35" s="42">
        <v>181.90661480200001</v>
      </c>
      <c r="BR35" s="42">
        <v>178.01556421800001</v>
      </c>
      <c r="BS35" s="42">
        <v>175.09727627999999</v>
      </c>
      <c r="BT35" s="42">
        <v>172.178988342</v>
      </c>
      <c r="BU35" s="42">
        <v>168.287937758</v>
      </c>
    </row>
    <row r="36" spans="1:73" x14ac:dyDescent="0.2">
      <c r="A36" s="103" t="s">
        <v>555</v>
      </c>
      <c r="B36" s="111" t="s">
        <v>1259</v>
      </c>
      <c r="C36" s="25" t="s">
        <v>75</v>
      </c>
      <c r="D36" s="26"/>
      <c r="E36" s="25">
        <v>100</v>
      </c>
      <c r="F36" s="25">
        <v>4</v>
      </c>
      <c r="G36" s="25">
        <v>0.85</v>
      </c>
      <c r="H36" s="25">
        <v>5005</v>
      </c>
      <c r="I36" s="25">
        <v>16</v>
      </c>
      <c r="J36" s="32">
        <f t="shared" si="0"/>
        <v>85085</v>
      </c>
      <c r="K36" s="26"/>
      <c r="L36" s="25">
        <v>3.62</v>
      </c>
      <c r="M36" s="25">
        <v>0.51249999999999996</v>
      </c>
      <c r="N36" s="26"/>
      <c r="O36" s="104">
        <v>1</v>
      </c>
      <c r="P36" s="42">
        <v>77.821011679999998</v>
      </c>
      <c r="Q36" s="42">
        <v>75.875486387999999</v>
      </c>
      <c r="R36" s="42">
        <v>74.902723741999992</v>
      </c>
      <c r="S36" s="42">
        <v>73.929961096</v>
      </c>
      <c r="T36" s="42">
        <v>72.957198449999993</v>
      </c>
      <c r="U36" s="42">
        <v>71.984435804</v>
      </c>
      <c r="V36" s="42">
        <v>71.011673157999994</v>
      </c>
      <c r="W36" s="42">
        <v>70.038910512000001</v>
      </c>
      <c r="X36" s="42">
        <v>69.066147865999994</v>
      </c>
      <c r="Y36" s="42">
        <v>69.066147865999994</v>
      </c>
      <c r="Z36" s="42">
        <v>68.093385220000002</v>
      </c>
      <c r="AA36" s="42">
        <v>67.120622573999995</v>
      </c>
      <c r="AB36" s="42">
        <v>66.147859928000003</v>
      </c>
      <c r="AC36" s="42">
        <v>66.147859928000003</v>
      </c>
      <c r="AD36" s="42">
        <v>65.175097281999996</v>
      </c>
      <c r="AE36" s="42">
        <v>64.202334636000003</v>
      </c>
      <c r="AF36" s="42">
        <v>64.202334636000003</v>
      </c>
      <c r="AG36" s="42">
        <v>63.229571989999997</v>
      </c>
      <c r="AH36" s="42">
        <v>63.229571989999997</v>
      </c>
      <c r="AI36" s="42">
        <v>62.256809343999997</v>
      </c>
      <c r="AJ36" s="42">
        <v>61.284046697999997</v>
      </c>
      <c r="AK36" s="42">
        <v>61.284046697999997</v>
      </c>
      <c r="AL36" s="42">
        <v>60.311284051999998</v>
      </c>
      <c r="AM36" s="42">
        <v>59.338521405999998</v>
      </c>
      <c r="AN36" s="42">
        <v>59.338521405999998</v>
      </c>
      <c r="AO36" s="42">
        <v>58.365758759999999</v>
      </c>
      <c r="AP36" s="42">
        <v>58.365758759999999</v>
      </c>
      <c r="AQ36" s="42">
        <v>57.392996113999999</v>
      </c>
      <c r="AR36" s="42">
        <v>57.392996113999999</v>
      </c>
      <c r="AS36" s="42">
        <v>295.719844384</v>
      </c>
      <c r="AT36" s="42">
        <v>283.073929986</v>
      </c>
      <c r="AU36" s="42">
        <v>273.34630352599999</v>
      </c>
      <c r="AV36" s="42">
        <v>264.59143971200001</v>
      </c>
      <c r="AW36" s="42">
        <v>256.80933854400001</v>
      </c>
      <c r="AX36" s="42">
        <v>250.00000002199999</v>
      </c>
      <c r="AY36" s="42">
        <v>243.1906615</v>
      </c>
      <c r="AZ36" s="42">
        <v>237.35408562399999</v>
      </c>
      <c r="BA36" s="42">
        <v>231.51750974800001</v>
      </c>
      <c r="BB36" s="42">
        <v>226.653696518</v>
      </c>
      <c r="BC36" s="42">
        <v>220.81712064199999</v>
      </c>
      <c r="BD36" s="42">
        <v>215.95330741199999</v>
      </c>
      <c r="BE36" s="42">
        <v>212.06225682799999</v>
      </c>
      <c r="BF36" s="42">
        <v>207.19844359800001</v>
      </c>
      <c r="BG36" s="42">
        <v>203.30739301400001</v>
      </c>
      <c r="BH36" s="42">
        <v>198.44357978400001</v>
      </c>
      <c r="BI36" s="42">
        <v>194.55252920000001</v>
      </c>
      <c r="BJ36" s="42">
        <v>190.66147861600001</v>
      </c>
      <c r="BK36" s="42">
        <v>186.77042803200001</v>
      </c>
      <c r="BL36" s="42">
        <v>182.87937744800001</v>
      </c>
      <c r="BM36" s="42">
        <v>178.98832686399999</v>
      </c>
      <c r="BN36" s="42">
        <v>176.070038926</v>
      </c>
      <c r="BO36" s="42">
        <v>172.178988342</v>
      </c>
      <c r="BP36" s="42">
        <v>169.260700404</v>
      </c>
      <c r="BQ36" s="42">
        <v>165.36964982000001</v>
      </c>
      <c r="BR36" s="42">
        <v>162.45136188199999</v>
      </c>
      <c r="BS36" s="42">
        <v>159.53307394399999</v>
      </c>
      <c r="BT36" s="42">
        <v>156.614786006</v>
      </c>
      <c r="BU36" s="42">
        <v>152.723735422</v>
      </c>
    </row>
    <row r="37" spans="1:73" x14ac:dyDescent="0.2">
      <c r="A37" s="103" t="s">
        <v>555</v>
      </c>
      <c r="B37" s="111" t="s">
        <v>1260</v>
      </c>
      <c r="C37" s="25" t="s">
        <v>75</v>
      </c>
      <c r="D37" s="26"/>
      <c r="E37" s="25">
        <v>100</v>
      </c>
      <c r="F37" s="25">
        <v>8</v>
      </c>
      <c r="G37" s="25">
        <v>0.85</v>
      </c>
      <c r="H37" s="25">
        <v>5005</v>
      </c>
      <c r="I37" s="25">
        <v>16</v>
      </c>
      <c r="J37" s="32">
        <f t="shared" si="0"/>
        <v>170170</v>
      </c>
      <c r="K37" s="26"/>
      <c r="L37" s="25">
        <v>6.48</v>
      </c>
      <c r="M37" s="25">
        <v>0.51249999999999996</v>
      </c>
      <c r="N37" s="26"/>
      <c r="O37" s="104">
        <v>1</v>
      </c>
      <c r="P37" s="42">
        <v>77.821011679999998</v>
      </c>
      <c r="Q37" s="42">
        <v>75.875486387999999</v>
      </c>
      <c r="R37" s="42">
        <v>74.902723741999992</v>
      </c>
      <c r="S37" s="42">
        <v>73.929961096</v>
      </c>
      <c r="T37" s="42">
        <v>72.957198449999993</v>
      </c>
      <c r="U37" s="42">
        <v>71.984435804</v>
      </c>
      <c r="V37" s="42">
        <v>71.011673157999994</v>
      </c>
      <c r="W37" s="42">
        <v>70.038910512000001</v>
      </c>
      <c r="X37" s="42">
        <v>69.066147865999994</v>
      </c>
      <c r="Y37" s="42">
        <v>69.066147865999994</v>
      </c>
      <c r="Z37" s="42">
        <v>68.093385220000002</v>
      </c>
      <c r="AA37" s="42">
        <v>67.120622573999995</v>
      </c>
      <c r="AB37" s="42">
        <v>66.147859928000003</v>
      </c>
      <c r="AC37" s="42">
        <v>66.147859928000003</v>
      </c>
      <c r="AD37" s="42">
        <v>65.175097281999996</v>
      </c>
      <c r="AE37" s="42">
        <v>64.202334636000003</v>
      </c>
      <c r="AF37" s="42">
        <v>64.202334636000003</v>
      </c>
      <c r="AG37" s="42">
        <v>63.229571989999997</v>
      </c>
      <c r="AH37" s="42">
        <v>63.229571989999997</v>
      </c>
      <c r="AI37" s="42">
        <v>62.256809343999997</v>
      </c>
      <c r="AJ37" s="42">
        <v>61.284046697999997</v>
      </c>
      <c r="AK37" s="42">
        <v>61.284046697999997</v>
      </c>
      <c r="AL37" s="42">
        <v>60.311284051999998</v>
      </c>
      <c r="AM37" s="42">
        <v>59.338521405999998</v>
      </c>
      <c r="AN37" s="42">
        <v>59.338521405999998</v>
      </c>
      <c r="AO37" s="42">
        <v>58.365758759999999</v>
      </c>
      <c r="AP37" s="42">
        <v>58.365758759999999</v>
      </c>
      <c r="AQ37" s="42">
        <v>57.392996113999999</v>
      </c>
      <c r="AR37" s="42">
        <v>57.392996113999999</v>
      </c>
      <c r="AS37" s="42">
        <v>287.937743216</v>
      </c>
      <c r="AT37" s="42">
        <v>275.291828818</v>
      </c>
      <c r="AU37" s="42">
        <v>265.56420235799999</v>
      </c>
      <c r="AV37" s="42">
        <v>256.80933854400001</v>
      </c>
      <c r="AW37" s="42">
        <v>249.02723737599999</v>
      </c>
      <c r="AX37" s="42">
        <v>242.217898854</v>
      </c>
      <c r="AY37" s="42">
        <v>236.38132297799999</v>
      </c>
      <c r="AZ37" s="42">
        <v>230.544747102</v>
      </c>
      <c r="BA37" s="42">
        <v>224.70817122599999</v>
      </c>
      <c r="BB37" s="42">
        <v>219.84435799600001</v>
      </c>
      <c r="BC37" s="42">
        <v>214.98054476600001</v>
      </c>
      <c r="BD37" s="42">
        <v>210.116731536</v>
      </c>
      <c r="BE37" s="42">
        <v>205.252918306</v>
      </c>
      <c r="BF37" s="42">
        <v>200.38910507599999</v>
      </c>
      <c r="BG37" s="42">
        <v>196.49805449199999</v>
      </c>
      <c r="BH37" s="42">
        <v>192.607003908</v>
      </c>
      <c r="BI37" s="42">
        <v>188.715953324</v>
      </c>
      <c r="BJ37" s="42">
        <v>184.82490274</v>
      </c>
      <c r="BK37" s="42">
        <v>180.933852156</v>
      </c>
      <c r="BL37" s="42">
        <v>177.042801572</v>
      </c>
      <c r="BM37" s="42">
        <v>173.151750988</v>
      </c>
      <c r="BN37" s="42">
        <v>170.23346305000001</v>
      </c>
      <c r="BO37" s="42">
        <v>166.34241246600001</v>
      </c>
      <c r="BP37" s="42">
        <v>163.42412452799999</v>
      </c>
      <c r="BQ37" s="42">
        <v>160.50583659</v>
      </c>
      <c r="BR37" s="42">
        <v>156.614786006</v>
      </c>
      <c r="BS37" s="42">
        <v>153.69649806800001</v>
      </c>
      <c r="BT37" s="42">
        <v>150.77821012999999</v>
      </c>
      <c r="BU37" s="42">
        <v>147.859922192</v>
      </c>
    </row>
    <row r="38" spans="1:73" x14ac:dyDescent="0.2">
      <c r="A38" s="103" t="s">
        <v>555</v>
      </c>
      <c r="B38" s="111" t="s">
        <v>1261</v>
      </c>
      <c r="C38" s="25" t="s">
        <v>75</v>
      </c>
      <c r="D38" s="26"/>
      <c r="E38" s="25">
        <v>100</v>
      </c>
      <c r="F38" s="25">
        <v>10</v>
      </c>
      <c r="G38" s="25">
        <v>0.85</v>
      </c>
      <c r="H38" s="25">
        <v>5005</v>
      </c>
      <c r="I38" s="25">
        <v>16</v>
      </c>
      <c r="J38" s="32">
        <f t="shared" si="0"/>
        <v>212712.5</v>
      </c>
      <c r="K38" s="26"/>
      <c r="L38" s="25">
        <v>7.89</v>
      </c>
      <c r="M38" s="25">
        <v>0.51249999999999996</v>
      </c>
      <c r="N38" s="26"/>
      <c r="O38" s="104">
        <v>1</v>
      </c>
      <c r="P38" s="42">
        <v>77.821011679999998</v>
      </c>
      <c r="Q38" s="42">
        <v>75.875486387999999</v>
      </c>
      <c r="R38" s="42">
        <v>74.902723741999992</v>
      </c>
      <c r="S38" s="42">
        <v>73.929961096</v>
      </c>
      <c r="T38" s="42">
        <v>72.957198449999993</v>
      </c>
      <c r="U38" s="42">
        <v>71.984435804</v>
      </c>
      <c r="V38" s="42">
        <v>71.011673157999994</v>
      </c>
      <c r="W38" s="42">
        <v>70.038910512000001</v>
      </c>
      <c r="X38" s="42">
        <v>69.066147865999994</v>
      </c>
      <c r="Y38" s="42">
        <v>69.066147865999994</v>
      </c>
      <c r="Z38" s="42">
        <v>68.093385220000002</v>
      </c>
      <c r="AA38" s="42">
        <v>67.120622573999995</v>
      </c>
      <c r="AB38" s="42">
        <v>66.147859928000003</v>
      </c>
      <c r="AC38" s="42">
        <v>66.147859928000003</v>
      </c>
      <c r="AD38" s="42">
        <v>65.175097281999996</v>
      </c>
      <c r="AE38" s="42">
        <v>64.202334636000003</v>
      </c>
      <c r="AF38" s="42">
        <v>64.202334636000003</v>
      </c>
      <c r="AG38" s="42">
        <v>63.229571989999997</v>
      </c>
      <c r="AH38" s="42">
        <v>63.229571989999997</v>
      </c>
      <c r="AI38" s="42">
        <v>62.256809343999997</v>
      </c>
      <c r="AJ38" s="42">
        <v>61.284046697999997</v>
      </c>
      <c r="AK38" s="42">
        <v>61.284046697999997</v>
      </c>
      <c r="AL38" s="42">
        <v>60.311284051999998</v>
      </c>
      <c r="AM38" s="42">
        <v>59.338521405999998</v>
      </c>
      <c r="AN38" s="42">
        <v>59.338521405999998</v>
      </c>
      <c r="AO38" s="42">
        <v>58.365758759999999</v>
      </c>
      <c r="AP38" s="42">
        <v>58.365758759999999</v>
      </c>
      <c r="AQ38" s="42">
        <v>57.392996113999999</v>
      </c>
      <c r="AR38" s="42">
        <v>57.392996113999999</v>
      </c>
      <c r="AS38" s="42">
        <v>285.99221792399999</v>
      </c>
      <c r="AT38" s="42">
        <v>273.34630352599999</v>
      </c>
      <c r="AU38" s="42">
        <v>263.61867706599998</v>
      </c>
      <c r="AV38" s="42">
        <v>255.83657589800001</v>
      </c>
      <c r="AW38" s="42">
        <v>248.05447473000001</v>
      </c>
      <c r="AX38" s="42">
        <v>241.24513620799999</v>
      </c>
      <c r="AY38" s="42">
        <v>234.435797686</v>
      </c>
      <c r="AZ38" s="42">
        <v>228.59922180999999</v>
      </c>
      <c r="BA38" s="42">
        <v>223.73540858000001</v>
      </c>
      <c r="BB38" s="42">
        <v>218.87159535000001</v>
      </c>
      <c r="BC38" s="42">
        <v>213.03501947399999</v>
      </c>
      <c r="BD38" s="42">
        <v>209.14396889</v>
      </c>
      <c r="BE38" s="42">
        <v>204.28015565999999</v>
      </c>
      <c r="BF38" s="42">
        <v>199.41634242999999</v>
      </c>
      <c r="BG38" s="42">
        <v>195.52529184599999</v>
      </c>
      <c r="BH38" s="42">
        <v>191.63424126199999</v>
      </c>
      <c r="BI38" s="42">
        <v>187.74319067799999</v>
      </c>
      <c r="BJ38" s="42">
        <v>183.85214009399999</v>
      </c>
      <c r="BK38" s="42">
        <v>179.96108950999999</v>
      </c>
      <c r="BL38" s="42">
        <v>176.070038926</v>
      </c>
      <c r="BM38" s="42">
        <v>172.178988342</v>
      </c>
      <c r="BN38" s="42">
        <v>169.260700404</v>
      </c>
      <c r="BO38" s="42">
        <v>165.36964982000001</v>
      </c>
      <c r="BP38" s="42">
        <v>162.45136188199999</v>
      </c>
      <c r="BQ38" s="42">
        <v>159.53307394399999</v>
      </c>
      <c r="BR38" s="42">
        <v>156.614786006</v>
      </c>
      <c r="BS38" s="42">
        <v>152.723735422</v>
      </c>
      <c r="BT38" s="42">
        <v>149.80544748400001</v>
      </c>
      <c r="BU38" s="42">
        <v>146.88715954599999</v>
      </c>
    </row>
    <row r="39" spans="1:73" x14ac:dyDescent="0.2">
      <c r="A39" s="103" t="s">
        <v>555</v>
      </c>
      <c r="B39" s="111" t="s">
        <v>1262</v>
      </c>
      <c r="C39" s="25" t="s">
        <v>75</v>
      </c>
      <c r="D39" s="26"/>
      <c r="E39" s="25">
        <v>100</v>
      </c>
      <c r="F39" s="25">
        <v>24</v>
      </c>
      <c r="G39" s="25">
        <v>0.85</v>
      </c>
      <c r="H39" s="25">
        <v>2912</v>
      </c>
      <c r="I39" s="25">
        <v>16</v>
      </c>
      <c r="J39" s="32">
        <f t="shared" si="0"/>
        <v>297024</v>
      </c>
      <c r="K39" s="26"/>
      <c r="L39" s="25">
        <v>17.68</v>
      </c>
      <c r="M39" s="25">
        <v>0.51249999999999996</v>
      </c>
      <c r="N39" s="26"/>
      <c r="O39" s="104">
        <v>1</v>
      </c>
      <c r="P39" s="42">
        <v>77.821011679999998</v>
      </c>
      <c r="Q39" s="42">
        <v>75.875486387999999</v>
      </c>
      <c r="R39" s="42">
        <v>74.902723741999992</v>
      </c>
      <c r="S39" s="42">
        <v>73.929961096</v>
      </c>
      <c r="T39" s="42">
        <v>72.957198449999993</v>
      </c>
      <c r="U39" s="42">
        <v>71.984435804</v>
      </c>
      <c r="V39" s="42">
        <v>71.011673157999994</v>
      </c>
      <c r="W39" s="42">
        <v>70.038910512000001</v>
      </c>
      <c r="X39" s="42">
        <v>69.066147865999994</v>
      </c>
      <c r="Y39" s="42">
        <v>69.066147865999994</v>
      </c>
      <c r="Z39" s="42">
        <v>68.093385220000002</v>
      </c>
      <c r="AA39" s="42">
        <v>67.120622573999995</v>
      </c>
      <c r="AB39" s="42">
        <v>66.147859928000003</v>
      </c>
      <c r="AC39" s="42">
        <v>66.147859928000003</v>
      </c>
      <c r="AD39" s="42">
        <v>65.175097281999996</v>
      </c>
      <c r="AE39" s="42">
        <v>64.202334636000003</v>
      </c>
      <c r="AF39" s="42">
        <v>64.202334636000003</v>
      </c>
      <c r="AG39" s="42">
        <v>63.229571989999997</v>
      </c>
      <c r="AH39" s="42">
        <v>63.229571989999997</v>
      </c>
      <c r="AI39" s="42">
        <v>62.256809343999997</v>
      </c>
      <c r="AJ39" s="42">
        <v>61.284046697999997</v>
      </c>
      <c r="AK39" s="42">
        <v>61.284046697999997</v>
      </c>
      <c r="AL39" s="42">
        <v>60.311284051999998</v>
      </c>
      <c r="AM39" s="42">
        <v>59.338521405999998</v>
      </c>
      <c r="AN39" s="42">
        <v>59.338521405999998</v>
      </c>
      <c r="AO39" s="42">
        <v>58.365758759999999</v>
      </c>
      <c r="AP39" s="42">
        <v>58.365758759999999</v>
      </c>
      <c r="AQ39" s="42">
        <v>57.392996113999999</v>
      </c>
      <c r="AR39" s="42">
        <v>57.392996113999999</v>
      </c>
      <c r="AS39" s="42">
        <v>281.12840469399998</v>
      </c>
      <c r="AT39" s="42">
        <v>268.48249029599998</v>
      </c>
      <c r="AU39" s="42">
        <v>258.75486383600003</v>
      </c>
      <c r="AV39" s="42">
        <v>250.972762668</v>
      </c>
      <c r="AW39" s="42">
        <v>243.1906615</v>
      </c>
      <c r="AX39" s="42">
        <v>236.38132297799999</v>
      </c>
      <c r="AY39" s="42">
        <v>230.544747102</v>
      </c>
      <c r="AZ39" s="42">
        <v>224.70817122599999</v>
      </c>
      <c r="BA39" s="42">
        <v>219.84435799600001</v>
      </c>
      <c r="BB39" s="42">
        <v>214.00778212</v>
      </c>
      <c r="BC39" s="42">
        <v>209.14396889</v>
      </c>
      <c r="BD39" s="42">
        <v>205.252918306</v>
      </c>
      <c r="BE39" s="42">
        <v>200.38910507599999</v>
      </c>
      <c r="BF39" s="42">
        <v>196.49805449199999</v>
      </c>
      <c r="BG39" s="42">
        <v>191.63424126199999</v>
      </c>
      <c r="BH39" s="42">
        <v>187.74319067799999</v>
      </c>
      <c r="BI39" s="42">
        <v>183.85214009399999</v>
      </c>
      <c r="BJ39" s="42">
        <v>179.96108950999999</v>
      </c>
      <c r="BK39" s="42">
        <v>176.070038926</v>
      </c>
      <c r="BL39" s="42">
        <v>173.151750988</v>
      </c>
      <c r="BM39" s="42">
        <v>169.260700404</v>
      </c>
      <c r="BN39" s="42">
        <v>166.34241246600001</v>
      </c>
      <c r="BO39" s="42">
        <v>162.45136188199999</v>
      </c>
      <c r="BP39" s="42">
        <v>159.53307394399999</v>
      </c>
      <c r="BQ39" s="42">
        <v>156.614786006</v>
      </c>
      <c r="BR39" s="42">
        <v>152.723735422</v>
      </c>
      <c r="BS39" s="42">
        <v>149.80544748400001</v>
      </c>
      <c r="BT39" s="42">
        <v>146.88715954599999</v>
      </c>
      <c r="BU39" s="42">
        <v>143.968871608</v>
      </c>
    </row>
    <row r="40" spans="1:73" ht="16" thickBot="1" x14ac:dyDescent="0.25">
      <c r="A40" s="115" t="s">
        <v>555</v>
      </c>
      <c r="B40" s="112" t="s">
        <v>1263</v>
      </c>
      <c r="C40" s="116" t="s">
        <v>75</v>
      </c>
      <c r="D40" s="117"/>
      <c r="E40" s="116">
        <v>100</v>
      </c>
      <c r="F40" s="116">
        <v>100</v>
      </c>
      <c r="G40" s="116">
        <v>0.85</v>
      </c>
      <c r="H40" s="116">
        <v>688</v>
      </c>
      <c r="I40" s="116">
        <v>16</v>
      </c>
      <c r="J40" s="118">
        <f t="shared" si="0"/>
        <v>292400</v>
      </c>
      <c r="K40" s="117"/>
      <c r="L40" s="116">
        <v>69.42</v>
      </c>
      <c r="M40" s="116">
        <v>0.51249999999999996</v>
      </c>
      <c r="N40" s="117"/>
      <c r="O40" s="119">
        <v>1</v>
      </c>
      <c r="P40" s="120">
        <v>77.821011679999998</v>
      </c>
      <c r="Q40" s="120">
        <v>75.875486387999999</v>
      </c>
      <c r="R40" s="120">
        <v>74.902723741999992</v>
      </c>
      <c r="S40" s="120">
        <v>73.929961096</v>
      </c>
      <c r="T40" s="120">
        <v>72.957198449999993</v>
      </c>
      <c r="U40" s="120">
        <v>71.984435804</v>
      </c>
      <c r="V40" s="120">
        <v>71.011673157999994</v>
      </c>
      <c r="W40" s="120">
        <v>70.038910512000001</v>
      </c>
      <c r="X40" s="120">
        <v>69.066147865999994</v>
      </c>
      <c r="Y40" s="120">
        <v>69.066147865999994</v>
      </c>
      <c r="Z40" s="120">
        <v>68.093385220000002</v>
      </c>
      <c r="AA40" s="120">
        <v>67.120622573999995</v>
      </c>
      <c r="AB40" s="120">
        <v>66.147859928000003</v>
      </c>
      <c r="AC40" s="120">
        <v>66.147859928000003</v>
      </c>
      <c r="AD40" s="120">
        <v>65.175097281999996</v>
      </c>
      <c r="AE40" s="120">
        <v>64.202334636000003</v>
      </c>
      <c r="AF40" s="120">
        <v>64.202334636000003</v>
      </c>
      <c r="AG40" s="120">
        <v>63.229571989999997</v>
      </c>
      <c r="AH40" s="120">
        <v>63.229571989999997</v>
      </c>
      <c r="AI40" s="120">
        <v>62.256809343999997</v>
      </c>
      <c r="AJ40" s="120">
        <v>61.284046697999997</v>
      </c>
      <c r="AK40" s="120">
        <v>61.284046697999997</v>
      </c>
      <c r="AL40" s="120">
        <v>60.311284051999998</v>
      </c>
      <c r="AM40" s="120">
        <v>59.338521405999998</v>
      </c>
      <c r="AN40" s="120">
        <v>59.338521405999998</v>
      </c>
      <c r="AO40" s="120">
        <v>58.365758759999999</v>
      </c>
      <c r="AP40" s="120">
        <v>58.365758759999999</v>
      </c>
      <c r="AQ40" s="120">
        <v>57.392996113999999</v>
      </c>
      <c r="AR40" s="120">
        <v>57.392996113999999</v>
      </c>
      <c r="AS40" s="120">
        <v>275.291828818</v>
      </c>
      <c r="AT40" s="120">
        <v>263.61867706599998</v>
      </c>
      <c r="AU40" s="120">
        <v>253.89105060599999</v>
      </c>
      <c r="AV40" s="120">
        <v>246.108949438</v>
      </c>
      <c r="AW40" s="120">
        <v>238.32684827</v>
      </c>
      <c r="AX40" s="120">
        <v>232.49027239399999</v>
      </c>
      <c r="AY40" s="120">
        <v>225.680933872</v>
      </c>
      <c r="AZ40" s="120">
        <v>220.81712064199999</v>
      </c>
      <c r="BA40" s="120">
        <v>214.98054476600001</v>
      </c>
      <c r="BB40" s="120">
        <v>210.116731536</v>
      </c>
      <c r="BC40" s="120">
        <v>205.252918306</v>
      </c>
      <c r="BD40" s="120">
        <v>200.38910507599999</v>
      </c>
      <c r="BE40" s="120">
        <v>196.49805449199999</v>
      </c>
      <c r="BF40" s="120">
        <v>191.63424126199999</v>
      </c>
      <c r="BG40" s="120">
        <v>187.74319067799999</v>
      </c>
      <c r="BH40" s="120">
        <v>183.85214009399999</v>
      </c>
      <c r="BI40" s="120">
        <v>179.96108950999999</v>
      </c>
      <c r="BJ40" s="120">
        <v>176.070038926</v>
      </c>
      <c r="BK40" s="120">
        <v>173.151750988</v>
      </c>
      <c r="BL40" s="120">
        <v>169.260700404</v>
      </c>
      <c r="BM40" s="120">
        <v>165.36964982000001</v>
      </c>
      <c r="BN40" s="120">
        <v>162.45136188199999</v>
      </c>
      <c r="BO40" s="120">
        <v>159.53307394399999</v>
      </c>
      <c r="BP40" s="120">
        <v>155.64202336</v>
      </c>
      <c r="BQ40" s="120">
        <v>152.723735422</v>
      </c>
      <c r="BR40" s="120">
        <v>149.80544748400001</v>
      </c>
      <c r="BS40" s="120">
        <v>146.88715954599999</v>
      </c>
      <c r="BT40" s="120">
        <v>143.968871608</v>
      </c>
      <c r="BU40" s="120">
        <v>141.05058367000001</v>
      </c>
    </row>
    <row r="41" spans="1:73" x14ac:dyDescent="0.2">
      <c r="A41" s="107" t="s">
        <v>556</v>
      </c>
      <c r="B41" s="111" t="s">
        <v>1249</v>
      </c>
      <c r="C41" s="25" t="s">
        <v>75</v>
      </c>
      <c r="D41" s="26"/>
      <c r="E41" s="25">
        <v>100</v>
      </c>
      <c r="F41" s="25">
        <v>10</v>
      </c>
      <c r="G41" s="25">
        <v>0.52</v>
      </c>
      <c r="H41" s="25">
        <v>26280</v>
      </c>
      <c r="I41" s="25">
        <v>60</v>
      </c>
      <c r="J41" s="32">
        <f t="shared" si="0"/>
        <v>182208</v>
      </c>
      <c r="K41" s="26"/>
      <c r="L41" s="25">
        <v>16.97</v>
      </c>
      <c r="M41" s="25">
        <v>0.97</v>
      </c>
      <c r="N41" s="26"/>
      <c r="O41" s="104">
        <v>1</v>
      </c>
      <c r="P41" s="42">
        <v>1122.4027238341801</v>
      </c>
      <c r="Q41" s="42">
        <v>1122.4027238341801</v>
      </c>
      <c r="R41" s="42">
        <v>1122.4027238341801</v>
      </c>
      <c r="S41" s="42">
        <v>1122.4027238341801</v>
      </c>
      <c r="T41" s="42">
        <v>1122.4027238341801</v>
      </c>
      <c r="U41" s="42">
        <v>1122.4027238341801</v>
      </c>
      <c r="V41" s="42">
        <v>1122.4027238341801</v>
      </c>
      <c r="W41" s="42">
        <v>1122.4027238341801</v>
      </c>
      <c r="X41" s="42">
        <v>1122.4027238341801</v>
      </c>
      <c r="Y41" s="42">
        <v>1122.4027238341801</v>
      </c>
      <c r="Z41" s="42">
        <v>1122.4027238341801</v>
      </c>
      <c r="AA41" s="42">
        <v>1122.4027238341801</v>
      </c>
      <c r="AB41" s="42">
        <v>1122.4027238341801</v>
      </c>
      <c r="AC41" s="42">
        <v>1122.4027238341801</v>
      </c>
      <c r="AD41" s="42">
        <v>1122.4027238341801</v>
      </c>
      <c r="AE41" s="42">
        <v>1122.4027238341801</v>
      </c>
      <c r="AF41" s="42">
        <v>1122.4027238341801</v>
      </c>
      <c r="AG41" s="42">
        <v>1122.4027238341801</v>
      </c>
      <c r="AH41" s="42">
        <v>1122.4027238341801</v>
      </c>
      <c r="AI41" s="42">
        <v>1122.4027238341801</v>
      </c>
      <c r="AJ41" s="42">
        <v>1122.4027238341801</v>
      </c>
      <c r="AK41" s="42">
        <v>1122.4027238341801</v>
      </c>
      <c r="AL41" s="42">
        <v>1122.4027238341801</v>
      </c>
      <c r="AM41" s="42">
        <v>1122.4027238341801</v>
      </c>
      <c r="AN41" s="42">
        <v>1122.4027238341801</v>
      </c>
      <c r="AO41" s="42">
        <v>1122.4027238341801</v>
      </c>
      <c r="AP41" s="42">
        <v>1122.4027238341801</v>
      </c>
      <c r="AQ41" s="42">
        <v>1122.4027238341801</v>
      </c>
      <c r="AR41" s="42">
        <v>1122.4027238341801</v>
      </c>
      <c r="AS41" s="42">
        <v>16.089494164840001</v>
      </c>
      <c r="AT41" s="42">
        <v>16.089494164840001</v>
      </c>
      <c r="AU41" s="42">
        <v>16.089494164840001</v>
      </c>
      <c r="AV41" s="42">
        <v>16.089494164840001</v>
      </c>
      <c r="AW41" s="42">
        <v>16.089494164840001</v>
      </c>
      <c r="AX41" s="42">
        <v>16.089494164840001</v>
      </c>
      <c r="AY41" s="42">
        <v>16.089494164840001</v>
      </c>
      <c r="AZ41" s="42">
        <v>16.089494164840001</v>
      </c>
      <c r="BA41" s="42">
        <v>16.089494164840001</v>
      </c>
      <c r="BB41" s="42">
        <v>16.089494164840001</v>
      </c>
      <c r="BC41" s="42">
        <v>16.089494164840001</v>
      </c>
      <c r="BD41" s="42">
        <v>16.089494164840001</v>
      </c>
      <c r="BE41" s="42">
        <v>16.089494164840001</v>
      </c>
      <c r="BF41" s="42">
        <v>16.089494164840001</v>
      </c>
      <c r="BG41" s="42">
        <v>16.089494164840001</v>
      </c>
      <c r="BH41" s="42">
        <v>16.089494164840001</v>
      </c>
      <c r="BI41" s="42">
        <v>16.089494164840001</v>
      </c>
      <c r="BJ41" s="42">
        <v>16.089494164840001</v>
      </c>
      <c r="BK41" s="42">
        <v>16.089494164840001</v>
      </c>
      <c r="BL41" s="42">
        <v>16.089494164840001</v>
      </c>
      <c r="BM41" s="42">
        <v>16.089494164840001</v>
      </c>
      <c r="BN41" s="42">
        <v>16.089494164840001</v>
      </c>
      <c r="BO41" s="42">
        <v>16.089494164840001</v>
      </c>
      <c r="BP41" s="42">
        <v>16.089494164840001</v>
      </c>
      <c r="BQ41" s="42">
        <v>16.089494164840001</v>
      </c>
      <c r="BR41" s="42">
        <v>16.089494164840001</v>
      </c>
      <c r="BS41" s="42">
        <v>16.089494164840001</v>
      </c>
      <c r="BT41" s="42">
        <v>16.089494164840001</v>
      </c>
      <c r="BU41" s="42">
        <v>16.089494164840001</v>
      </c>
    </row>
    <row r="42" spans="1:73" x14ac:dyDescent="0.2">
      <c r="A42" s="107" t="s">
        <v>556</v>
      </c>
      <c r="B42" s="111" t="s">
        <v>1250</v>
      </c>
      <c r="C42" s="25" t="s">
        <v>75</v>
      </c>
      <c r="D42" s="26"/>
      <c r="E42" s="25">
        <v>100</v>
      </c>
      <c r="F42" s="25">
        <v>24</v>
      </c>
      <c r="G42" s="25">
        <v>0.52</v>
      </c>
      <c r="H42" s="25">
        <v>10920</v>
      </c>
      <c r="I42" s="25">
        <v>60</v>
      </c>
      <c r="J42" s="32">
        <f t="shared" si="0"/>
        <v>181708.79999999999</v>
      </c>
      <c r="K42" s="26"/>
      <c r="L42" s="25">
        <v>16.37</v>
      </c>
      <c r="M42" s="25">
        <v>0.97</v>
      </c>
      <c r="N42" s="26"/>
      <c r="O42" s="104">
        <v>1</v>
      </c>
      <c r="P42" s="42">
        <v>1121.8385214995001</v>
      </c>
      <c r="Q42" s="42">
        <v>1121.8385214995001</v>
      </c>
      <c r="R42" s="42">
        <v>1121.8385214995001</v>
      </c>
      <c r="S42" s="42">
        <v>1121.8385214995001</v>
      </c>
      <c r="T42" s="42">
        <v>1121.8385214995001</v>
      </c>
      <c r="U42" s="42">
        <v>1121.8385214995001</v>
      </c>
      <c r="V42" s="42">
        <v>1121.8385214995001</v>
      </c>
      <c r="W42" s="42">
        <v>1121.8385214995001</v>
      </c>
      <c r="X42" s="42">
        <v>1121.8385214995001</v>
      </c>
      <c r="Y42" s="42">
        <v>1121.8385214995001</v>
      </c>
      <c r="Z42" s="42">
        <v>1121.8385214995001</v>
      </c>
      <c r="AA42" s="42">
        <v>1121.8385214995001</v>
      </c>
      <c r="AB42" s="42">
        <v>1121.8385214995001</v>
      </c>
      <c r="AC42" s="42">
        <v>1121.8385214995001</v>
      </c>
      <c r="AD42" s="42">
        <v>1121.8385214995001</v>
      </c>
      <c r="AE42" s="42">
        <v>1121.8385214995001</v>
      </c>
      <c r="AF42" s="42">
        <v>1121.8385214995001</v>
      </c>
      <c r="AG42" s="42">
        <v>1121.8385214995001</v>
      </c>
      <c r="AH42" s="42">
        <v>1121.8385214995001</v>
      </c>
      <c r="AI42" s="42">
        <v>1121.8385214995001</v>
      </c>
      <c r="AJ42" s="42">
        <v>1121.8385214995001</v>
      </c>
      <c r="AK42" s="42">
        <v>1121.8385214995001</v>
      </c>
      <c r="AL42" s="42">
        <v>1121.8385214995001</v>
      </c>
      <c r="AM42" s="42">
        <v>1121.8385214995001</v>
      </c>
      <c r="AN42" s="42">
        <v>1121.8385214995001</v>
      </c>
      <c r="AO42" s="42">
        <v>1121.8385214995001</v>
      </c>
      <c r="AP42" s="42">
        <v>1121.8385214995001</v>
      </c>
      <c r="AQ42" s="42">
        <v>1121.8385214995001</v>
      </c>
      <c r="AR42" s="42">
        <v>1121.8385214995001</v>
      </c>
      <c r="AS42" s="42">
        <v>16.050583659000001</v>
      </c>
      <c r="AT42" s="42">
        <v>16.050583659000001</v>
      </c>
      <c r="AU42" s="42">
        <v>16.050583659000001</v>
      </c>
      <c r="AV42" s="42">
        <v>16.050583659000001</v>
      </c>
      <c r="AW42" s="42">
        <v>16.050583659000001</v>
      </c>
      <c r="AX42" s="42">
        <v>16.050583659000001</v>
      </c>
      <c r="AY42" s="42">
        <v>16.050583659000001</v>
      </c>
      <c r="AZ42" s="42">
        <v>16.050583659000001</v>
      </c>
      <c r="BA42" s="42">
        <v>16.050583659000001</v>
      </c>
      <c r="BB42" s="42">
        <v>16.050583659000001</v>
      </c>
      <c r="BC42" s="42">
        <v>16.050583659000001</v>
      </c>
      <c r="BD42" s="42">
        <v>16.050583659000001</v>
      </c>
      <c r="BE42" s="42">
        <v>16.050583659000001</v>
      </c>
      <c r="BF42" s="42">
        <v>16.050583659000001</v>
      </c>
      <c r="BG42" s="42">
        <v>16.050583659000001</v>
      </c>
      <c r="BH42" s="42">
        <v>16.050583659000001</v>
      </c>
      <c r="BI42" s="42">
        <v>16.050583659000001</v>
      </c>
      <c r="BJ42" s="42">
        <v>16.050583659000001</v>
      </c>
      <c r="BK42" s="42">
        <v>16.050583659000001</v>
      </c>
      <c r="BL42" s="42">
        <v>16.050583659000001</v>
      </c>
      <c r="BM42" s="42">
        <v>16.050583659000001</v>
      </c>
      <c r="BN42" s="42">
        <v>16.050583659000001</v>
      </c>
      <c r="BO42" s="42">
        <v>16.050583659000001</v>
      </c>
      <c r="BP42" s="42">
        <v>16.050583659000001</v>
      </c>
      <c r="BQ42" s="42">
        <v>16.050583659000001</v>
      </c>
      <c r="BR42" s="42">
        <v>16.050583659000001</v>
      </c>
      <c r="BS42" s="42">
        <v>16.050583659000001</v>
      </c>
      <c r="BT42" s="42">
        <v>16.050583659000001</v>
      </c>
      <c r="BU42" s="42">
        <v>16.050583659000001</v>
      </c>
    </row>
    <row r="43" spans="1:73" x14ac:dyDescent="0.2">
      <c r="A43" s="107" t="s">
        <v>556</v>
      </c>
      <c r="B43" s="111" t="s">
        <v>1251</v>
      </c>
      <c r="C43" s="25" t="s">
        <v>75</v>
      </c>
      <c r="D43" s="26"/>
      <c r="E43" s="25">
        <v>100</v>
      </c>
      <c r="F43" s="25">
        <v>100</v>
      </c>
      <c r="G43" s="25">
        <v>0.52</v>
      </c>
      <c r="H43" s="25">
        <v>2580</v>
      </c>
      <c r="I43" s="25">
        <v>60</v>
      </c>
      <c r="J43" s="32">
        <f t="shared" si="0"/>
        <v>178880</v>
      </c>
      <c r="K43" s="26"/>
      <c r="L43" s="25">
        <v>18.149999999999999</v>
      </c>
      <c r="M43" s="25">
        <v>0.97</v>
      </c>
      <c r="N43" s="26"/>
      <c r="O43" s="104">
        <v>1</v>
      </c>
      <c r="P43" s="42">
        <v>1121.53696507924</v>
      </c>
      <c r="Q43" s="42">
        <v>1121.53696507924</v>
      </c>
      <c r="R43" s="42">
        <v>1121.53696507924</v>
      </c>
      <c r="S43" s="42">
        <v>1121.53696507924</v>
      </c>
      <c r="T43" s="42">
        <v>1121.53696507924</v>
      </c>
      <c r="U43" s="42">
        <v>1121.53696507924</v>
      </c>
      <c r="V43" s="42">
        <v>1121.53696507924</v>
      </c>
      <c r="W43" s="42">
        <v>1121.53696507924</v>
      </c>
      <c r="X43" s="42">
        <v>1121.53696507924</v>
      </c>
      <c r="Y43" s="42">
        <v>1121.53696507924</v>
      </c>
      <c r="Z43" s="42">
        <v>1121.53696507924</v>
      </c>
      <c r="AA43" s="42">
        <v>1121.53696507924</v>
      </c>
      <c r="AB43" s="42">
        <v>1121.53696507924</v>
      </c>
      <c r="AC43" s="42">
        <v>1121.53696507924</v>
      </c>
      <c r="AD43" s="42">
        <v>1121.53696507924</v>
      </c>
      <c r="AE43" s="42">
        <v>1121.53696507924</v>
      </c>
      <c r="AF43" s="42">
        <v>1121.53696507924</v>
      </c>
      <c r="AG43" s="42">
        <v>1121.53696507924</v>
      </c>
      <c r="AH43" s="42">
        <v>1121.53696507924</v>
      </c>
      <c r="AI43" s="42">
        <v>1121.53696507924</v>
      </c>
      <c r="AJ43" s="42">
        <v>1121.53696507924</v>
      </c>
      <c r="AK43" s="42">
        <v>1121.53696507924</v>
      </c>
      <c r="AL43" s="42">
        <v>1121.53696507924</v>
      </c>
      <c r="AM43" s="42">
        <v>1121.53696507924</v>
      </c>
      <c r="AN43" s="42">
        <v>1121.53696507924</v>
      </c>
      <c r="AO43" s="42">
        <v>1121.53696507924</v>
      </c>
      <c r="AP43" s="42">
        <v>1121.53696507924</v>
      </c>
      <c r="AQ43" s="42">
        <v>1121.53696507924</v>
      </c>
      <c r="AR43" s="42">
        <v>1121.53696507924</v>
      </c>
      <c r="AS43" s="42">
        <v>15.99221790024</v>
      </c>
      <c r="AT43" s="42">
        <v>15.99221790024</v>
      </c>
      <c r="AU43" s="42">
        <v>15.99221790024</v>
      </c>
      <c r="AV43" s="42">
        <v>15.99221790024</v>
      </c>
      <c r="AW43" s="42">
        <v>15.99221790024</v>
      </c>
      <c r="AX43" s="42">
        <v>15.99221790024</v>
      </c>
      <c r="AY43" s="42">
        <v>15.99221790024</v>
      </c>
      <c r="AZ43" s="42">
        <v>15.99221790024</v>
      </c>
      <c r="BA43" s="42">
        <v>15.99221790024</v>
      </c>
      <c r="BB43" s="42">
        <v>15.99221790024</v>
      </c>
      <c r="BC43" s="42">
        <v>15.99221790024</v>
      </c>
      <c r="BD43" s="42">
        <v>15.99221790024</v>
      </c>
      <c r="BE43" s="42">
        <v>15.99221790024</v>
      </c>
      <c r="BF43" s="42">
        <v>15.99221790024</v>
      </c>
      <c r="BG43" s="42">
        <v>15.99221790024</v>
      </c>
      <c r="BH43" s="42">
        <v>15.99221790024</v>
      </c>
      <c r="BI43" s="42">
        <v>15.99221790024</v>
      </c>
      <c r="BJ43" s="42">
        <v>15.99221790024</v>
      </c>
      <c r="BK43" s="42">
        <v>15.99221790024</v>
      </c>
      <c r="BL43" s="42">
        <v>15.99221790024</v>
      </c>
      <c r="BM43" s="42">
        <v>15.99221790024</v>
      </c>
      <c r="BN43" s="42">
        <v>15.99221790024</v>
      </c>
      <c r="BO43" s="42">
        <v>15.99221790024</v>
      </c>
      <c r="BP43" s="42">
        <v>15.99221790024</v>
      </c>
      <c r="BQ43" s="42">
        <v>15.99221790024</v>
      </c>
      <c r="BR43" s="42">
        <v>15.99221790024</v>
      </c>
      <c r="BS43" s="42">
        <v>15.99221790024</v>
      </c>
      <c r="BT43" s="42">
        <v>15.99221790024</v>
      </c>
      <c r="BU43" s="42">
        <v>15.99221790024</v>
      </c>
    </row>
    <row r="44" spans="1:73" x14ac:dyDescent="0.2">
      <c r="A44" s="107" t="s">
        <v>556</v>
      </c>
      <c r="B44" s="111" t="s">
        <v>1252</v>
      </c>
      <c r="C44" s="25" t="s">
        <v>75</v>
      </c>
      <c r="D44" s="26"/>
      <c r="E44" s="25">
        <v>100</v>
      </c>
      <c r="F44" s="25">
        <v>10</v>
      </c>
      <c r="G44" s="25">
        <v>0.31</v>
      </c>
      <c r="H44" s="25">
        <v>13140</v>
      </c>
      <c r="I44" s="25">
        <v>30</v>
      </c>
      <c r="J44" s="32">
        <f t="shared" si="0"/>
        <v>108624</v>
      </c>
      <c r="K44" s="26"/>
      <c r="L44" s="25">
        <v>15.26</v>
      </c>
      <c r="M44" s="25">
        <v>0.51249999999999996</v>
      </c>
      <c r="N44" s="26"/>
      <c r="O44" s="104">
        <v>1</v>
      </c>
      <c r="P44" s="42">
        <v>3096.478599494279</v>
      </c>
      <c r="Q44" s="42">
        <v>3096.478599494279</v>
      </c>
      <c r="R44" s="42">
        <v>3096.478599494279</v>
      </c>
      <c r="S44" s="42">
        <v>3096.478599494279</v>
      </c>
      <c r="T44" s="42">
        <v>3096.478599494279</v>
      </c>
      <c r="U44" s="42">
        <v>3096.478599494279</v>
      </c>
      <c r="V44" s="42">
        <v>3096.478599494279</v>
      </c>
      <c r="W44" s="42">
        <v>3096.478599494279</v>
      </c>
      <c r="X44" s="42">
        <v>1021.47859931168</v>
      </c>
      <c r="Y44" s="42">
        <v>1021.47859931168</v>
      </c>
      <c r="Z44" s="42">
        <v>1021.47859931168</v>
      </c>
      <c r="AA44" s="42">
        <v>1021.47859931168</v>
      </c>
      <c r="AB44" s="42">
        <v>1021.47859931168</v>
      </c>
      <c r="AC44" s="42">
        <v>1021.47859931168</v>
      </c>
      <c r="AD44" s="42">
        <v>1021.47859931168</v>
      </c>
      <c r="AE44" s="42">
        <v>1021.47859931168</v>
      </c>
      <c r="AF44" s="42">
        <v>1021.47859931168</v>
      </c>
      <c r="AG44" s="42">
        <v>1021.47859931168</v>
      </c>
      <c r="AH44" s="42">
        <v>1021.47859931168</v>
      </c>
      <c r="AI44" s="42">
        <v>1021.47859931168</v>
      </c>
      <c r="AJ44" s="42">
        <v>1021.47859931168</v>
      </c>
      <c r="AK44" s="42">
        <v>1021.47859931168</v>
      </c>
      <c r="AL44" s="42">
        <v>1021.47859931168</v>
      </c>
      <c r="AM44" s="42">
        <v>1021.47859931168</v>
      </c>
      <c r="AN44" s="42">
        <v>1021.47859931168</v>
      </c>
      <c r="AO44" s="42">
        <v>1021.47859931168</v>
      </c>
      <c r="AP44" s="42">
        <v>1021.47859931168</v>
      </c>
      <c r="AQ44" s="42">
        <v>1021.47859931168</v>
      </c>
      <c r="AR44" s="42">
        <v>1021.47859931168</v>
      </c>
      <c r="AS44" s="42">
        <v>16.089494164840001</v>
      </c>
      <c r="AT44" s="42">
        <v>16.089494164840001</v>
      </c>
      <c r="AU44" s="42">
        <v>16.089494164840001</v>
      </c>
      <c r="AV44" s="42">
        <v>16.089494164840001</v>
      </c>
      <c r="AW44" s="42">
        <v>16.089494164840001</v>
      </c>
      <c r="AX44" s="42">
        <v>16.089494164840001</v>
      </c>
      <c r="AY44" s="42">
        <v>16.089494164840001</v>
      </c>
      <c r="AZ44" s="42">
        <v>16.089494164840001</v>
      </c>
      <c r="BA44" s="42">
        <v>16.089494164840001</v>
      </c>
      <c r="BB44" s="42">
        <v>16.089494164840001</v>
      </c>
      <c r="BC44" s="42">
        <v>16.089494164840001</v>
      </c>
      <c r="BD44" s="42">
        <v>16.089494164840001</v>
      </c>
      <c r="BE44" s="42">
        <v>16.089494164840001</v>
      </c>
      <c r="BF44" s="42">
        <v>16.089494164840001</v>
      </c>
      <c r="BG44" s="42">
        <v>16.089494164840001</v>
      </c>
      <c r="BH44" s="42">
        <v>16.089494164840001</v>
      </c>
      <c r="BI44" s="42">
        <v>16.089494164840001</v>
      </c>
      <c r="BJ44" s="42">
        <v>16.089494164840001</v>
      </c>
      <c r="BK44" s="42">
        <v>16.089494164840001</v>
      </c>
      <c r="BL44" s="42">
        <v>16.089494164840001</v>
      </c>
      <c r="BM44" s="42">
        <v>16.089494164840001</v>
      </c>
      <c r="BN44" s="42">
        <v>16.089494164840001</v>
      </c>
      <c r="BO44" s="42">
        <v>16.089494164840001</v>
      </c>
      <c r="BP44" s="42">
        <v>16.089494164840001</v>
      </c>
      <c r="BQ44" s="42">
        <v>16.089494164840001</v>
      </c>
      <c r="BR44" s="42">
        <v>16.089494164840001</v>
      </c>
      <c r="BS44" s="42">
        <v>16.089494164840001</v>
      </c>
      <c r="BT44" s="42">
        <v>16.089494164840001</v>
      </c>
      <c r="BU44" s="42">
        <v>16.089494164840001</v>
      </c>
    </row>
    <row r="45" spans="1:73" x14ac:dyDescent="0.2">
      <c r="A45" s="107" t="s">
        <v>556</v>
      </c>
      <c r="B45" s="111" t="s">
        <v>1253</v>
      </c>
      <c r="C45" s="25" t="s">
        <v>75</v>
      </c>
      <c r="D45" s="26"/>
      <c r="E45" s="25">
        <v>100</v>
      </c>
      <c r="F45" s="25">
        <v>24</v>
      </c>
      <c r="G45" s="25">
        <v>0.31</v>
      </c>
      <c r="H45" s="25">
        <v>5460</v>
      </c>
      <c r="I45" s="25">
        <v>30</v>
      </c>
      <c r="J45" s="32">
        <f t="shared" si="0"/>
        <v>108326.39999999999</v>
      </c>
      <c r="K45" s="26"/>
      <c r="L45" s="25">
        <v>17.25</v>
      </c>
      <c r="M45" s="25">
        <v>0.51249999999999996</v>
      </c>
      <c r="N45" s="26"/>
      <c r="O45" s="104">
        <v>1</v>
      </c>
      <c r="P45" s="42">
        <v>3096.478599494279</v>
      </c>
      <c r="Q45" s="42">
        <v>3096.478599494279</v>
      </c>
      <c r="R45" s="42">
        <v>3096.478599494279</v>
      </c>
      <c r="S45" s="42">
        <v>3096.478599494279</v>
      </c>
      <c r="T45" s="42">
        <v>3096.478599494279</v>
      </c>
      <c r="U45" s="42">
        <v>3096.478599494279</v>
      </c>
      <c r="V45" s="42">
        <v>3096.478599494279</v>
      </c>
      <c r="W45" s="42">
        <v>3096.478599494279</v>
      </c>
      <c r="X45" s="42">
        <v>1021.47859931168</v>
      </c>
      <c r="Y45" s="42">
        <v>1021.47859931168</v>
      </c>
      <c r="Z45" s="42">
        <v>1021.47859931168</v>
      </c>
      <c r="AA45" s="42">
        <v>1021.47859931168</v>
      </c>
      <c r="AB45" s="42">
        <v>1021.47859931168</v>
      </c>
      <c r="AC45" s="42">
        <v>1021.47859931168</v>
      </c>
      <c r="AD45" s="42">
        <v>1021.47859931168</v>
      </c>
      <c r="AE45" s="42">
        <v>1021.47859931168</v>
      </c>
      <c r="AF45" s="42">
        <v>1021.47859931168</v>
      </c>
      <c r="AG45" s="42">
        <v>1021.47859931168</v>
      </c>
      <c r="AH45" s="42">
        <v>1021.47859931168</v>
      </c>
      <c r="AI45" s="42">
        <v>1021.47859931168</v>
      </c>
      <c r="AJ45" s="42">
        <v>1021.47859931168</v>
      </c>
      <c r="AK45" s="42">
        <v>1021.47859931168</v>
      </c>
      <c r="AL45" s="42">
        <v>1021.47859931168</v>
      </c>
      <c r="AM45" s="42">
        <v>1021.47859931168</v>
      </c>
      <c r="AN45" s="42">
        <v>1021.47859931168</v>
      </c>
      <c r="AO45" s="42">
        <v>1021.47859931168</v>
      </c>
      <c r="AP45" s="42">
        <v>1021.47859931168</v>
      </c>
      <c r="AQ45" s="42">
        <v>1021.47859931168</v>
      </c>
      <c r="AR45" s="42">
        <v>1021.47859931168</v>
      </c>
      <c r="AS45" s="42">
        <v>16.050583659000001</v>
      </c>
      <c r="AT45" s="42">
        <v>16.050583659000001</v>
      </c>
      <c r="AU45" s="42">
        <v>16.050583659000001</v>
      </c>
      <c r="AV45" s="42">
        <v>16.050583659000001</v>
      </c>
      <c r="AW45" s="42">
        <v>16.050583659000001</v>
      </c>
      <c r="AX45" s="42">
        <v>16.050583659000001</v>
      </c>
      <c r="AY45" s="42">
        <v>16.050583659000001</v>
      </c>
      <c r="AZ45" s="42">
        <v>16.050583659000001</v>
      </c>
      <c r="BA45" s="42">
        <v>16.050583659000001</v>
      </c>
      <c r="BB45" s="42">
        <v>16.050583659000001</v>
      </c>
      <c r="BC45" s="42">
        <v>16.050583659000001</v>
      </c>
      <c r="BD45" s="42">
        <v>16.050583659000001</v>
      </c>
      <c r="BE45" s="42">
        <v>16.050583659000001</v>
      </c>
      <c r="BF45" s="42">
        <v>16.050583659000001</v>
      </c>
      <c r="BG45" s="42">
        <v>16.050583659000001</v>
      </c>
      <c r="BH45" s="42">
        <v>16.050583659000001</v>
      </c>
      <c r="BI45" s="42">
        <v>16.050583659000001</v>
      </c>
      <c r="BJ45" s="42">
        <v>16.050583659000001</v>
      </c>
      <c r="BK45" s="42">
        <v>16.050583659000001</v>
      </c>
      <c r="BL45" s="42">
        <v>16.050583659000001</v>
      </c>
      <c r="BM45" s="42">
        <v>16.050583659000001</v>
      </c>
      <c r="BN45" s="42">
        <v>16.050583659000001</v>
      </c>
      <c r="BO45" s="42">
        <v>16.050583659000001</v>
      </c>
      <c r="BP45" s="42">
        <v>16.050583659000001</v>
      </c>
      <c r="BQ45" s="42">
        <v>16.050583659000001</v>
      </c>
      <c r="BR45" s="42">
        <v>16.050583659000001</v>
      </c>
      <c r="BS45" s="42">
        <v>16.050583659000001</v>
      </c>
      <c r="BT45" s="42">
        <v>16.050583659000001</v>
      </c>
      <c r="BU45" s="42">
        <v>16.050583659000001</v>
      </c>
    </row>
    <row r="46" spans="1:73" x14ac:dyDescent="0.2">
      <c r="A46" s="107" t="s">
        <v>556</v>
      </c>
      <c r="B46" s="111" t="s">
        <v>1254</v>
      </c>
      <c r="C46" s="25" t="s">
        <v>75</v>
      </c>
      <c r="D46" s="26"/>
      <c r="E46" s="25">
        <v>100</v>
      </c>
      <c r="F46" s="25">
        <v>100</v>
      </c>
      <c r="G46" s="25">
        <v>0.31</v>
      </c>
      <c r="H46" s="25">
        <v>1290</v>
      </c>
      <c r="I46" s="25">
        <v>30</v>
      </c>
      <c r="J46" s="32">
        <f t="shared" si="0"/>
        <v>106640</v>
      </c>
      <c r="K46" s="26"/>
      <c r="L46" s="25">
        <v>27.98</v>
      </c>
      <c r="M46" s="25">
        <v>0.51249999999999996</v>
      </c>
      <c r="N46" s="26"/>
      <c r="O46" s="104">
        <v>1</v>
      </c>
      <c r="P46" s="42">
        <v>3096.478599494279</v>
      </c>
      <c r="Q46" s="42">
        <v>3096.478599494279</v>
      </c>
      <c r="R46" s="42">
        <v>3096.478599494279</v>
      </c>
      <c r="S46" s="42">
        <v>3096.478599494279</v>
      </c>
      <c r="T46" s="42">
        <v>3096.478599494279</v>
      </c>
      <c r="U46" s="42">
        <v>3096.478599494279</v>
      </c>
      <c r="V46" s="42">
        <v>3096.478599494279</v>
      </c>
      <c r="W46" s="42">
        <v>3096.478599494279</v>
      </c>
      <c r="X46" s="42">
        <v>1021.47859931168</v>
      </c>
      <c r="Y46" s="42">
        <v>1021.47859931168</v>
      </c>
      <c r="Z46" s="42">
        <v>1021.47859931168</v>
      </c>
      <c r="AA46" s="42">
        <v>1021.47859931168</v>
      </c>
      <c r="AB46" s="42">
        <v>1021.47859931168</v>
      </c>
      <c r="AC46" s="42">
        <v>1021.47859931168</v>
      </c>
      <c r="AD46" s="42">
        <v>1021.47859931168</v>
      </c>
      <c r="AE46" s="42">
        <v>1021.47859931168</v>
      </c>
      <c r="AF46" s="42">
        <v>1021.47859931168</v>
      </c>
      <c r="AG46" s="42">
        <v>1021.47859931168</v>
      </c>
      <c r="AH46" s="42">
        <v>1021.47859931168</v>
      </c>
      <c r="AI46" s="42">
        <v>1021.47859931168</v>
      </c>
      <c r="AJ46" s="42">
        <v>1021.47859931168</v>
      </c>
      <c r="AK46" s="42">
        <v>1021.47859931168</v>
      </c>
      <c r="AL46" s="42">
        <v>1021.47859931168</v>
      </c>
      <c r="AM46" s="42">
        <v>1021.47859931168</v>
      </c>
      <c r="AN46" s="42">
        <v>1021.47859931168</v>
      </c>
      <c r="AO46" s="42">
        <v>1021.47859931168</v>
      </c>
      <c r="AP46" s="42">
        <v>1021.47859931168</v>
      </c>
      <c r="AQ46" s="42">
        <v>1021.47859931168</v>
      </c>
      <c r="AR46" s="42">
        <v>1021.47859931168</v>
      </c>
      <c r="AS46" s="42">
        <v>15.99221790024</v>
      </c>
      <c r="AT46" s="42">
        <v>15.99221790024</v>
      </c>
      <c r="AU46" s="42">
        <v>15.99221790024</v>
      </c>
      <c r="AV46" s="42">
        <v>15.99221790024</v>
      </c>
      <c r="AW46" s="42">
        <v>15.99221790024</v>
      </c>
      <c r="AX46" s="42">
        <v>15.99221790024</v>
      </c>
      <c r="AY46" s="42">
        <v>15.99221790024</v>
      </c>
      <c r="AZ46" s="42">
        <v>15.99221790024</v>
      </c>
      <c r="BA46" s="42">
        <v>15.99221790024</v>
      </c>
      <c r="BB46" s="42">
        <v>15.99221790024</v>
      </c>
      <c r="BC46" s="42">
        <v>15.99221790024</v>
      </c>
      <c r="BD46" s="42">
        <v>15.99221790024</v>
      </c>
      <c r="BE46" s="42">
        <v>15.99221790024</v>
      </c>
      <c r="BF46" s="42">
        <v>15.99221790024</v>
      </c>
      <c r="BG46" s="42">
        <v>15.99221790024</v>
      </c>
      <c r="BH46" s="42">
        <v>15.99221790024</v>
      </c>
      <c r="BI46" s="42">
        <v>15.99221790024</v>
      </c>
      <c r="BJ46" s="42">
        <v>15.99221790024</v>
      </c>
      <c r="BK46" s="42">
        <v>15.99221790024</v>
      </c>
      <c r="BL46" s="42">
        <v>15.99221790024</v>
      </c>
      <c r="BM46" s="42">
        <v>15.99221790024</v>
      </c>
      <c r="BN46" s="42">
        <v>15.99221790024</v>
      </c>
      <c r="BO46" s="42">
        <v>15.99221790024</v>
      </c>
      <c r="BP46" s="42">
        <v>15.99221790024</v>
      </c>
      <c r="BQ46" s="42">
        <v>15.99221790024</v>
      </c>
      <c r="BR46" s="42">
        <v>15.99221790024</v>
      </c>
      <c r="BS46" s="42">
        <v>15.99221790024</v>
      </c>
      <c r="BT46" s="42">
        <v>15.99221790024</v>
      </c>
      <c r="BU46" s="42">
        <v>15.99221790024</v>
      </c>
    </row>
    <row r="47" spans="1:73" x14ac:dyDescent="0.2">
      <c r="A47" s="107" t="s">
        <v>556</v>
      </c>
      <c r="B47" s="111" t="s">
        <v>1288</v>
      </c>
      <c r="C47" s="25" t="s">
        <v>75</v>
      </c>
      <c r="D47" s="26"/>
      <c r="E47" s="25">
        <v>1000</v>
      </c>
      <c r="F47" s="25">
        <v>10</v>
      </c>
      <c r="G47" s="25">
        <v>0.8</v>
      </c>
      <c r="H47" s="25">
        <v>26280</v>
      </c>
      <c r="I47" s="25">
        <v>60</v>
      </c>
      <c r="J47" s="32">
        <f t="shared" si="0"/>
        <v>2803200</v>
      </c>
      <c r="K47" s="26"/>
      <c r="L47" s="25">
        <v>29.94</v>
      </c>
      <c r="M47" s="25">
        <v>0.51249999999999996</v>
      </c>
      <c r="N47" s="26"/>
      <c r="O47" s="104">
        <v>1</v>
      </c>
      <c r="P47" s="42">
        <v>2587.9280157919402</v>
      </c>
      <c r="Q47" s="42">
        <v>2587.9280157919402</v>
      </c>
      <c r="R47" s="42">
        <v>2587.9280157919402</v>
      </c>
      <c r="S47" s="42">
        <v>2587.9280157919402</v>
      </c>
      <c r="T47" s="42">
        <v>2587.9280157919402</v>
      </c>
      <c r="U47" s="42">
        <v>2587.9280157919402</v>
      </c>
      <c r="V47" s="42">
        <v>2587.9280157919402</v>
      </c>
      <c r="W47" s="42">
        <v>2587.9280157919402</v>
      </c>
      <c r="X47" s="42">
        <v>2587.9280157919402</v>
      </c>
      <c r="Y47" s="42">
        <v>2587.9280157919402</v>
      </c>
      <c r="Z47" s="42">
        <v>2587.9280157919402</v>
      </c>
      <c r="AA47" s="42">
        <v>2587.9280157919402</v>
      </c>
      <c r="AB47" s="42">
        <v>2587.9280157919402</v>
      </c>
      <c r="AC47" s="42">
        <v>2587.9280157919402</v>
      </c>
      <c r="AD47" s="42">
        <v>2587.9280157919402</v>
      </c>
      <c r="AE47" s="42">
        <v>2587.9280157919402</v>
      </c>
      <c r="AF47" s="42">
        <v>2587.9280157919402</v>
      </c>
      <c r="AG47" s="42">
        <v>2587.9280157919402</v>
      </c>
      <c r="AH47" s="42">
        <v>2587.9280157919402</v>
      </c>
      <c r="AI47" s="42">
        <v>2587.9280157919402</v>
      </c>
      <c r="AJ47" s="42">
        <v>2587.9280157919402</v>
      </c>
      <c r="AK47" s="42">
        <v>2587.9280157919402</v>
      </c>
      <c r="AL47" s="42">
        <v>2587.9280157919402</v>
      </c>
      <c r="AM47" s="42">
        <v>2587.9280157919402</v>
      </c>
      <c r="AN47" s="42">
        <v>2587.9280157919402</v>
      </c>
      <c r="AO47" s="42">
        <v>2587.9280157919402</v>
      </c>
      <c r="AP47" s="42">
        <v>2587.9280157919402</v>
      </c>
      <c r="AQ47" s="42">
        <v>2587.9280157919402</v>
      </c>
      <c r="AR47" s="42">
        <v>2587.9280157919402</v>
      </c>
      <c r="AS47" s="42">
        <v>39.406614789459987</v>
      </c>
      <c r="AT47" s="42">
        <v>39.406614789459987</v>
      </c>
      <c r="AU47" s="42">
        <v>39.406614789459987</v>
      </c>
      <c r="AV47" s="42">
        <v>39.406614789459987</v>
      </c>
      <c r="AW47" s="42">
        <v>39.406614789459987</v>
      </c>
      <c r="AX47" s="42">
        <v>39.406614789459987</v>
      </c>
      <c r="AY47" s="42">
        <v>39.406614789459987</v>
      </c>
      <c r="AZ47" s="42">
        <v>39.406614789459987</v>
      </c>
      <c r="BA47" s="42">
        <v>39.406614789459987</v>
      </c>
      <c r="BB47" s="42">
        <v>39.406614789459987</v>
      </c>
      <c r="BC47" s="42">
        <v>39.406614789459987</v>
      </c>
      <c r="BD47" s="42">
        <v>39.406614789459987</v>
      </c>
      <c r="BE47" s="42">
        <v>39.406614789459987</v>
      </c>
      <c r="BF47" s="42">
        <v>39.406614789459987</v>
      </c>
      <c r="BG47" s="42">
        <v>39.406614789459987</v>
      </c>
      <c r="BH47" s="42">
        <v>39.406614789459987</v>
      </c>
      <c r="BI47" s="42">
        <v>39.406614789459987</v>
      </c>
      <c r="BJ47" s="42">
        <v>39.406614789459987</v>
      </c>
      <c r="BK47" s="42">
        <v>39.406614789459987</v>
      </c>
      <c r="BL47" s="42">
        <v>39.406614789459987</v>
      </c>
      <c r="BM47" s="42">
        <v>39.406614789459987</v>
      </c>
      <c r="BN47" s="42">
        <v>39.406614789459987</v>
      </c>
      <c r="BO47" s="42">
        <v>39.406614789459987</v>
      </c>
      <c r="BP47" s="42">
        <v>39.406614789459987</v>
      </c>
      <c r="BQ47" s="42">
        <v>39.406614789459987</v>
      </c>
      <c r="BR47" s="42">
        <v>39.406614789459987</v>
      </c>
      <c r="BS47" s="42">
        <v>39.406614789459987</v>
      </c>
      <c r="BT47" s="42">
        <v>39.406614789459987</v>
      </c>
      <c r="BU47" s="42">
        <v>39.406614789459987</v>
      </c>
    </row>
    <row r="48" spans="1:73" x14ac:dyDescent="0.2">
      <c r="A48" s="107" t="s">
        <v>556</v>
      </c>
      <c r="B48" s="111" t="s">
        <v>1289</v>
      </c>
      <c r="C48" s="25" t="s">
        <v>75</v>
      </c>
      <c r="D48" s="26"/>
      <c r="E48" s="25">
        <v>1000</v>
      </c>
      <c r="F48" s="25">
        <v>24</v>
      </c>
      <c r="G48" s="25">
        <v>0.8</v>
      </c>
      <c r="H48" s="25">
        <v>10920</v>
      </c>
      <c r="I48" s="25">
        <v>60</v>
      </c>
      <c r="J48" s="32">
        <f t="shared" si="0"/>
        <v>2795520</v>
      </c>
      <c r="K48" s="26"/>
      <c r="L48" s="25">
        <v>29.94</v>
      </c>
      <c r="M48" s="25">
        <v>0.51249999999999996</v>
      </c>
      <c r="N48" s="26"/>
      <c r="O48" s="104">
        <v>1</v>
      </c>
      <c r="P48" s="42">
        <v>2645.8754866141599</v>
      </c>
      <c r="Q48" s="42">
        <v>2645.8754866141599</v>
      </c>
      <c r="R48" s="42">
        <v>2645.8754866141599</v>
      </c>
      <c r="S48" s="42">
        <v>2645.8754866141599</v>
      </c>
      <c r="T48" s="42">
        <v>2645.8754866141599</v>
      </c>
      <c r="U48" s="42">
        <v>2645.8754866141599</v>
      </c>
      <c r="V48" s="42">
        <v>2645.8754866141599</v>
      </c>
      <c r="W48" s="42">
        <v>2645.8754866141599</v>
      </c>
      <c r="X48" s="42">
        <v>2645.8754866141599</v>
      </c>
      <c r="Y48" s="42">
        <v>2645.8754866141599</v>
      </c>
      <c r="Z48" s="42">
        <v>2645.8754866141599</v>
      </c>
      <c r="AA48" s="42">
        <v>2645.8754866141599</v>
      </c>
      <c r="AB48" s="42">
        <v>2645.8754866141599</v>
      </c>
      <c r="AC48" s="42">
        <v>2645.8754866141599</v>
      </c>
      <c r="AD48" s="42">
        <v>2645.8754866141599</v>
      </c>
      <c r="AE48" s="42">
        <v>2645.8754866141599</v>
      </c>
      <c r="AF48" s="42">
        <v>2645.8754866141599</v>
      </c>
      <c r="AG48" s="42">
        <v>2645.8754866141599</v>
      </c>
      <c r="AH48" s="42">
        <v>2645.8754866141599</v>
      </c>
      <c r="AI48" s="42">
        <v>2645.8754866141599</v>
      </c>
      <c r="AJ48" s="42">
        <v>2645.8754866141599</v>
      </c>
      <c r="AK48" s="42">
        <v>2645.8754866141599</v>
      </c>
      <c r="AL48" s="42">
        <v>2645.8754866141599</v>
      </c>
      <c r="AM48" s="42">
        <v>2645.8754866141599</v>
      </c>
      <c r="AN48" s="42">
        <v>2645.8754866141599</v>
      </c>
      <c r="AO48" s="42">
        <v>2645.8754866141599</v>
      </c>
      <c r="AP48" s="42">
        <v>2645.8754866141599</v>
      </c>
      <c r="AQ48" s="42">
        <v>2645.8754866141599</v>
      </c>
      <c r="AR48" s="42">
        <v>2645.8754866141599</v>
      </c>
      <c r="AS48" s="42">
        <v>21.303501947400001</v>
      </c>
      <c r="AT48" s="42">
        <v>21.303501947400001</v>
      </c>
      <c r="AU48" s="42">
        <v>21.303501947400001</v>
      </c>
      <c r="AV48" s="42">
        <v>21.303501947400001</v>
      </c>
      <c r="AW48" s="42">
        <v>21.303501947400001</v>
      </c>
      <c r="AX48" s="42">
        <v>21.303501947400001</v>
      </c>
      <c r="AY48" s="42">
        <v>21.303501947400001</v>
      </c>
      <c r="AZ48" s="42">
        <v>21.303501947400001</v>
      </c>
      <c r="BA48" s="42">
        <v>21.303501947400001</v>
      </c>
      <c r="BB48" s="42">
        <v>21.303501947400001</v>
      </c>
      <c r="BC48" s="42">
        <v>21.303501947400001</v>
      </c>
      <c r="BD48" s="42">
        <v>21.303501947400001</v>
      </c>
      <c r="BE48" s="42">
        <v>21.303501947400001</v>
      </c>
      <c r="BF48" s="42">
        <v>21.303501947400001</v>
      </c>
      <c r="BG48" s="42">
        <v>21.303501947400001</v>
      </c>
      <c r="BH48" s="42">
        <v>21.303501947400001</v>
      </c>
      <c r="BI48" s="42">
        <v>21.303501947400001</v>
      </c>
      <c r="BJ48" s="42">
        <v>21.303501947400001</v>
      </c>
      <c r="BK48" s="42">
        <v>21.303501947400001</v>
      </c>
      <c r="BL48" s="42">
        <v>21.303501947400001</v>
      </c>
      <c r="BM48" s="42">
        <v>21.303501947400001</v>
      </c>
      <c r="BN48" s="42">
        <v>21.303501947400001</v>
      </c>
      <c r="BO48" s="42">
        <v>21.303501947400001</v>
      </c>
      <c r="BP48" s="42">
        <v>21.303501947400001</v>
      </c>
      <c r="BQ48" s="42">
        <v>21.303501947400001</v>
      </c>
      <c r="BR48" s="42">
        <v>21.303501947400001</v>
      </c>
      <c r="BS48" s="42">
        <v>21.303501947400001</v>
      </c>
      <c r="BT48" s="42">
        <v>21.303501947400001</v>
      </c>
      <c r="BU48" s="42">
        <v>21.303501947400001</v>
      </c>
    </row>
    <row r="49" spans="1:73" x14ac:dyDescent="0.2">
      <c r="A49" s="107" t="s">
        <v>556</v>
      </c>
      <c r="B49" s="111" t="s">
        <v>1290</v>
      </c>
      <c r="C49" s="25" t="s">
        <v>75</v>
      </c>
      <c r="D49" s="26"/>
      <c r="E49" s="25">
        <v>1000</v>
      </c>
      <c r="F49" s="25">
        <v>100</v>
      </c>
      <c r="G49" s="25">
        <v>0.8</v>
      </c>
      <c r="H49" s="25">
        <v>2580</v>
      </c>
      <c r="I49" s="25">
        <v>60</v>
      </c>
      <c r="J49" s="32">
        <f t="shared" si="0"/>
        <v>2752000</v>
      </c>
      <c r="K49" s="26"/>
      <c r="L49" s="25">
        <v>29.94</v>
      </c>
      <c r="M49" s="25">
        <v>0.51249999999999996</v>
      </c>
      <c r="N49" s="26"/>
      <c r="O49" s="104">
        <v>1</v>
      </c>
      <c r="P49" s="42">
        <v>2810.96303526682</v>
      </c>
      <c r="Q49" s="42">
        <v>2810.96303526682</v>
      </c>
      <c r="R49" s="42">
        <v>2810.96303526682</v>
      </c>
      <c r="S49" s="42">
        <v>2810.96303526682</v>
      </c>
      <c r="T49" s="42">
        <v>2810.96303526682</v>
      </c>
      <c r="U49" s="42">
        <v>2810.96303526682</v>
      </c>
      <c r="V49" s="42">
        <v>2810.96303526682</v>
      </c>
      <c r="W49" s="42">
        <v>2810.96303526682</v>
      </c>
      <c r="X49" s="42">
        <v>2810.96303526682</v>
      </c>
      <c r="Y49" s="42">
        <v>2810.96303526682</v>
      </c>
      <c r="Z49" s="42">
        <v>2810.96303526682</v>
      </c>
      <c r="AA49" s="42">
        <v>2810.96303526682</v>
      </c>
      <c r="AB49" s="42">
        <v>2810.96303526682</v>
      </c>
      <c r="AC49" s="42">
        <v>2810.96303526682</v>
      </c>
      <c r="AD49" s="42">
        <v>2810.96303526682</v>
      </c>
      <c r="AE49" s="42">
        <v>2810.96303526682</v>
      </c>
      <c r="AF49" s="42">
        <v>2810.96303526682</v>
      </c>
      <c r="AG49" s="42">
        <v>2810.96303526682</v>
      </c>
      <c r="AH49" s="42">
        <v>2810.96303526682</v>
      </c>
      <c r="AI49" s="42">
        <v>2810.96303526682</v>
      </c>
      <c r="AJ49" s="42">
        <v>2810.96303526682</v>
      </c>
      <c r="AK49" s="42">
        <v>2810.96303526682</v>
      </c>
      <c r="AL49" s="42">
        <v>2810.96303526682</v>
      </c>
      <c r="AM49" s="42">
        <v>2810.96303526682</v>
      </c>
      <c r="AN49" s="42">
        <v>2810.96303526682</v>
      </c>
      <c r="AO49" s="42">
        <v>2810.96303526682</v>
      </c>
      <c r="AP49" s="42">
        <v>2810.96303526682</v>
      </c>
      <c r="AQ49" s="42">
        <v>2810.96303526682</v>
      </c>
      <c r="AR49" s="42">
        <v>2810.96303526682</v>
      </c>
      <c r="AS49" s="42">
        <v>8.4435797672799993</v>
      </c>
      <c r="AT49" s="42">
        <v>8.4435797672799993</v>
      </c>
      <c r="AU49" s="42">
        <v>8.4435797672799993</v>
      </c>
      <c r="AV49" s="42">
        <v>8.4435797672799993</v>
      </c>
      <c r="AW49" s="42">
        <v>8.4435797672799993</v>
      </c>
      <c r="AX49" s="42">
        <v>8.4435797672799993</v>
      </c>
      <c r="AY49" s="42">
        <v>8.4435797672799993</v>
      </c>
      <c r="AZ49" s="42">
        <v>8.4435797672799993</v>
      </c>
      <c r="BA49" s="42">
        <v>8.4435797672799993</v>
      </c>
      <c r="BB49" s="42">
        <v>8.4435797672799993</v>
      </c>
      <c r="BC49" s="42">
        <v>8.4435797672799993</v>
      </c>
      <c r="BD49" s="42">
        <v>8.4435797672799993</v>
      </c>
      <c r="BE49" s="42">
        <v>8.4435797672799993</v>
      </c>
      <c r="BF49" s="42">
        <v>8.4435797672799993</v>
      </c>
      <c r="BG49" s="42">
        <v>8.4435797672799993</v>
      </c>
      <c r="BH49" s="42">
        <v>8.4435797672799993</v>
      </c>
      <c r="BI49" s="42">
        <v>8.4435797672799993</v>
      </c>
      <c r="BJ49" s="42">
        <v>8.4435797672799993</v>
      </c>
      <c r="BK49" s="42">
        <v>8.4435797672799993</v>
      </c>
      <c r="BL49" s="42">
        <v>8.4435797672799993</v>
      </c>
      <c r="BM49" s="42">
        <v>8.4435797672799993</v>
      </c>
      <c r="BN49" s="42">
        <v>8.4435797672799993</v>
      </c>
      <c r="BO49" s="42">
        <v>8.4435797672799993</v>
      </c>
      <c r="BP49" s="42">
        <v>8.4435797672799993</v>
      </c>
      <c r="BQ49" s="42">
        <v>8.4435797672799993</v>
      </c>
      <c r="BR49" s="42">
        <v>8.4435797672799993</v>
      </c>
      <c r="BS49" s="42">
        <v>8.4435797672799993</v>
      </c>
      <c r="BT49" s="42">
        <v>8.4435797672799993</v>
      </c>
      <c r="BU49" s="42">
        <v>8.4435797672799993</v>
      </c>
    </row>
    <row r="50" spans="1:73" x14ac:dyDescent="0.2">
      <c r="A50" s="107" t="s">
        <v>556</v>
      </c>
      <c r="B50" s="111" t="s">
        <v>1255</v>
      </c>
      <c r="C50" s="25" t="s">
        <v>75</v>
      </c>
      <c r="D50" s="26"/>
      <c r="E50" s="25">
        <v>100</v>
      </c>
      <c r="F50" s="25">
        <v>10</v>
      </c>
      <c r="G50" s="25">
        <v>0.43</v>
      </c>
      <c r="H50" s="25">
        <v>17520</v>
      </c>
      <c r="I50" s="25">
        <v>40</v>
      </c>
      <c r="J50" s="32">
        <f t="shared" si="0"/>
        <v>150672</v>
      </c>
      <c r="K50" s="26"/>
      <c r="L50" s="25">
        <v>89.23</v>
      </c>
      <c r="M50" s="25">
        <v>0</v>
      </c>
      <c r="N50" s="26"/>
      <c r="O50" s="104">
        <v>1</v>
      </c>
      <c r="P50" s="42">
        <v>2211.70233482498</v>
      </c>
      <c r="Q50" s="42">
        <v>2211.70233482498</v>
      </c>
      <c r="R50" s="42">
        <v>2211.70233482498</v>
      </c>
      <c r="S50" s="42">
        <v>2211.70233482498</v>
      </c>
      <c r="T50" s="42">
        <v>2211.70233482498</v>
      </c>
      <c r="U50" s="42">
        <v>2211.70233482498</v>
      </c>
      <c r="V50" s="42">
        <v>2211.70233482498</v>
      </c>
      <c r="W50" s="42">
        <v>2211.70233482498</v>
      </c>
      <c r="X50" s="42">
        <v>1829.9902725345801</v>
      </c>
      <c r="Y50" s="42">
        <v>1829.9902725345801</v>
      </c>
      <c r="Z50" s="42">
        <v>1829.9902725345801</v>
      </c>
      <c r="AA50" s="42">
        <v>1829.9902725345801</v>
      </c>
      <c r="AB50" s="42">
        <v>1829.9902725345801</v>
      </c>
      <c r="AC50" s="42">
        <v>1829.9902725345801</v>
      </c>
      <c r="AD50" s="42">
        <v>1829.9902725345801</v>
      </c>
      <c r="AE50" s="42">
        <v>1829.9902725345801</v>
      </c>
      <c r="AF50" s="42">
        <v>1829.9902725345801</v>
      </c>
      <c r="AG50" s="42">
        <v>1829.9902725345801</v>
      </c>
      <c r="AH50" s="42">
        <v>1829.9902725345801</v>
      </c>
      <c r="AI50" s="42">
        <v>1829.9902725345801</v>
      </c>
      <c r="AJ50" s="42">
        <v>1829.9902725345801</v>
      </c>
      <c r="AK50" s="42">
        <v>1829.9902725345801</v>
      </c>
      <c r="AL50" s="42">
        <v>1829.9902725345801</v>
      </c>
      <c r="AM50" s="42">
        <v>1829.9902725345801</v>
      </c>
      <c r="AN50" s="42">
        <v>1829.9902725345801</v>
      </c>
      <c r="AO50" s="42">
        <v>1829.9902725345801</v>
      </c>
      <c r="AP50" s="42">
        <v>1829.9902725345801</v>
      </c>
      <c r="AQ50" s="42">
        <v>1829.9902725345801</v>
      </c>
      <c r="AR50" s="42">
        <v>1829.9902725345801</v>
      </c>
      <c r="AS50" s="42">
        <v>443.81322961104001</v>
      </c>
      <c r="AT50" s="42">
        <v>443.81322961104001</v>
      </c>
      <c r="AU50" s="42">
        <v>443.81322961104001</v>
      </c>
      <c r="AV50" s="42">
        <v>443.81322961104001</v>
      </c>
      <c r="AW50" s="42">
        <v>443.81322961104001</v>
      </c>
      <c r="AX50" s="42">
        <v>443.81322961104001</v>
      </c>
      <c r="AY50" s="42">
        <v>443.81322961104001</v>
      </c>
      <c r="AZ50" s="42">
        <v>443.81322961104001</v>
      </c>
      <c r="BA50" s="42">
        <v>425.33073933703997</v>
      </c>
      <c r="BB50" s="42">
        <v>425.33073933703997</v>
      </c>
      <c r="BC50" s="42">
        <v>425.33073933703997</v>
      </c>
      <c r="BD50" s="42">
        <v>425.33073933703997</v>
      </c>
      <c r="BE50" s="42">
        <v>425.33073933703997</v>
      </c>
      <c r="BF50" s="42">
        <v>425.33073933703997</v>
      </c>
      <c r="BG50" s="42">
        <v>425.33073933703997</v>
      </c>
      <c r="BH50" s="42">
        <v>425.33073933703997</v>
      </c>
      <c r="BI50" s="42">
        <v>425.33073933703997</v>
      </c>
      <c r="BJ50" s="42">
        <v>425.33073933703997</v>
      </c>
      <c r="BK50" s="42">
        <v>425.33073933703997</v>
      </c>
      <c r="BL50" s="42">
        <v>425.33073933703997</v>
      </c>
      <c r="BM50" s="42">
        <v>425.33073933703997</v>
      </c>
      <c r="BN50" s="42">
        <v>425.33073933703997</v>
      </c>
      <c r="BO50" s="42">
        <v>425.33073933703997</v>
      </c>
      <c r="BP50" s="42">
        <v>425.33073933703997</v>
      </c>
      <c r="BQ50" s="42">
        <v>425.33073933703997</v>
      </c>
      <c r="BR50" s="42">
        <v>425.33073933703997</v>
      </c>
      <c r="BS50" s="42">
        <v>425.33073933703997</v>
      </c>
      <c r="BT50" s="42">
        <v>425.33073933703997</v>
      </c>
      <c r="BU50" s="42">
        <v>425.33073933703997</v>
      </c>
    </row>
    <row r="51" spans="1:73" x14ac:dyDescent="0.2">
      <c r="A51" s="107" t="s">
        <v>556</v>
      </c>
      <c r="B51" s="111" t="s">
        <v>1256</v>
      </c>
      <c r="C51" s="25" t="s">
        <v>75</v>
      </c>
      <c r="D51" s="26"/>
      <c r="E51" s="25">
        <v>100</v>
      </c>
      <c r="F51" s="25">
        <v>24</v>
      </c>
      <c r="G51" s="25">
        <v>0.43</v>
      </c>
      <c r="H51" s="25">
        <v>7280</v>
      </c>
      <c r="I51" s="25">
        <v>40</v>
      </c>
      <c r="J51" s="32">
        <f t="shared" si="0"/>
        <v>150259.20000000001</v>
      </c>
      <c r="K51" s="26"/>
      <c r="L51" s="25">
        <v>89.12</v>
      </c>
      <c r="M51" s="25">
        <v>0</v>
      </c>
      <c r="N51" s="26"/>
      <c r="O51" s="104">
        <v>1</v>
      </c>
      <c r="P51" s="42">
        <v>3114.9805450212002</v>
      </c>
      <c r="Q51" s="42">
        <v>3114.9805450212002</v>
      </c>
      <c r="R51" s="42">
        <v>3114.9805450212002</v>
      </c>
      <c r="S51" s="42">
        <v>3114.9805450212002</v>
      </c>
      <c r="T51" s="42">
        <v>3114.9805450212002</v>
      </c>
      <c r="U51" s="42">
        <v>3114.9805450212002</v>
      </c>
      <c r="V51" s="42">
        <v>3114.9805450212002</v>
      </c>
      <c r="W51" s="42">
        <v>3114.9805450212002</v>
      </c>
      <c r="X51" s="42">
        <v>1913.4143970555399</v>
      </c>
      <c r="Y51" s="42">
        <v>1913.4143970555399</v>
      </c>
      <c r="Z51" s="42">
        <v>1913.4143970555399</v>
      </c>
      <c r="AA51" s="42">
        <v>1913.4143970555399</v>
      </c>
      <c r="AB51" s="42">
        <v>1913.4143970555399</v>
      </c>
      <c r="AC51" s="42">
        <v>1913.4143970555399</v>
      </c>
      <c r="AD51" s="42">
        <v>1913.4143970555399</v>
      </c>
      <c r="AE51" s="42">
        <v>1913.4143970555399</v>
      </c>
      <c r="AF51" s="42">
        <v>1913.4143970555399</v>
      </c>
      <c r="AG51" s="42">
        <v>1913.4143970555399</v>
      </c>
      <c r="AH51" s="42">
        <v>1913.4143970555399</v>
      </c>
      <c r="AI51" s="42">
        <v>1913.4143970555399</v>
      </c>
      <c r="AJ51" s="42">
        <v>1913.4143970555399</v>
      </c>
      <c r="AK51" s="42">
        <v>1913.4143970555399</v>
      </c>
      <c r="AL51" s="42">
        <v>1913.4143970555399</v>
      </c>
      <c r="AM51" s="42">
        <v>1913.4143970555399</v>
      </c>
      <c r="AN51" s="42">
        <v>1913.4143970555399</v>
      </c>
      <c r="AO51" s="42">
        <v>1913.4143970555399</v>
      </c>
      <c r="AP51" s="42">
        <v>1913.4143970555399</v>
      </c>
      <c r="AQ51" s="42">
        <v>1913.4143970555399</v>
      </c>
      <c r="AR51" s="42">
        <v>1913.4143970555399</v>
      </c>
      <c r="AS51" s="42">
        <v>246.90661480771999</v>
      </c>
      <c r="AT51" s="42">
        <v>246.90661480771999</v>
      </c>
      <c r="AU51" s="42">
        <v>246.90661480771999</v>
      </c>
      <c r="AV51" s="42">
        <v>246.90661480771999</v>
      </c>
      <c r="AW51" s="42">
        <v>246.90661480771999</v>
      </c>
      <c r="AX51" s="42">
        <v>246.90661480771999</v>
      </c>
      <c r="AY51" s="42">
        <v>246.90661480771999</v>
      </c>
      <c r="AZ51" s="42">
        <v>246.90661480771999</v>
      </c>
      <c r="BA51" s="42">
        <v>192.82101169012</v>
      </c>
      <c r="BB51" s="42">
        <v>192.82101169012</v>
      </c>
      <c r="BC51" s="42">
        <v>192.82101169012</v>
      </c>
      <c r="BD51" s="42">
        <v>192.82101169012</v>
      </c>
      <c r="BE51" s="42">
        <v>192.82101169012</v>
      </c>
      <c r="BF51" s="42">
        <v>192.82101169012</v>
      </c>
      <c r="BG51" s="42">
        <v>192.82101169012</v>
      </c>
      <c r="BH51" s="42">
        <v>192.82101169012</v>
      </c>
      <c r="BI51" s="42">
        <v>192.82101169012</v>
      </c>
      <c r="BJ51" s="42">
        <v>192.82101169012</v>
      </c>
      <c r="BK51" s="42">
        <v>192.82101169012</v>
      </c>
      <c r="BL51" s="42">
        <v>192.82101169012</v>
      </c>
      <c r="BM51" s="42">
        <v>192.82101169012</v>
      </c>
      <c r="BN51" s="42">
        <v>192.82101169012</v>
      </c>
      <c r="BO51" s="42">
        <v>192.82101169012</v>
      </c>
      <c r="BP51" s="42">
        <v>192.82101169012</v>
      </c>
      <c r="BQ51" s="42">
        <v>192.82101169012</v>
      </c>
      <c r="BR51" s="42">
        <v>192.82101169012</v>
      </c>
      <c r="BS51" s="42">
        <v>192.82101169012</v>
      </c>
      <c r="BT51" s="42">
        <v>192.82101169012</v>
      </c>
      <c r="BU51" s="42">
        <v>192.82101169012</v>
      </c>
    </row>
    <row r="52" spans="1:73" x14ac:dyDescent="0.2">
      <c r="A52" s="107" t="s">
        <v>556</v>
      </c>
      <c r="B52" s="111" t="s">
        <v>1257</v>
      </c>
      <c r="C52" s="25" t="s">
        <v>75</v>
      </c>
      <c r="D52" s="26"/>
      <c r="E52" s="25">
        <v>100</v>
      </c>
      <c r="F52" s="25">
        <v>100</v>
      </c>
      <c r="G52" s="25">
        <v>0.43</v>
      </c>
      <c r="H52" s="25">
        <v>1720</v>
      </c>
      <c r="I52" s="25">
        <v>40</v>
      </c>
      <c r="J52" s="32">
        <f t="shared" si="0"/>
        <v>147920</v>
      </c>
      <c r="K52" s="26"/>
      <c r="L52" s="25">
        <v>109.14</v>
      </c>
      <c r="M52" s="25">
        <v>0</v>
      </c>
      <c r="N52" s="26"/>
      <c r="O52" s="104">
        <v>1</v>
      </c>
      <c r="P52" s="42">
        <v>3114.9805450212002</v>
      </c>
      <c r="Q52" s="42">
        <v>3114.9805450212002</v>
      </c>
      <c r="R52" s="42">
        <v>3114.9805450212002</v>
      </c>
      <c r="S52" s="42">
        <v>3114.9805450212002</v>
      </c>
      <c r="T52" s="42">
        <v>3114.9805450212002</v>
      </c>
      <c r="U52" s="42">
        <v>3114.9805450212002</v>
      </c>
      <c r="V52" s="42">
        <v>3114.9805450212002</v>
      </c>
      <c r="W52" s="42">
        <v>3114.9805450212002</v>
      </c>
      <c r="X52" s="42">
        <v>1940.93385231088</v>
      </c>
      <c r="Y52" s="42">
        <v>1940.93385231088</v>
      </c>
      <c r="Z52" s="42">
        <v>1940.93385231088</v>
      </c>
      <c r="AA52" s="42">
        <v>1940.93385231088</v>
      </c>
      <c r="AB52" s="42">
        <v>1940.93385231088</v>
      </c>
      <c r="AC52" s="42">
        <v>1940.93385231088</v>
      </c>
      <c r="AD52" s="42">
        <v>1940.93385231088</v>
      </c>
      <c r="AE52" s="42">
        <v>1940.93385231088</v>
      </c>
      <c r="AF52" s="42">
        <v>1940.93385231088</v>
      </c>
      <c r="AG52" s="42">
        <v>1940.93385231088</v>
      </c>
      <c r="AH52" s="42">
        <v>1940.93385231088</v>
      </c>
      <c r="AI52" s="42">
        <v>1940.93385231088</v>
      </c>
      <c r="AJ52" s="42">
        <v>1940.93385231088</v>
      </c>
      <c r="AK52" s="42">
        <v>1940.93385231088</v>
      </c>
      <c r="AL52" s="42">
        <v>1940.93385231088</v>
      </c>
      <c r="AM52" s="42">
        <v>1940.93385231088</v>
      </c>
      <c r="AN52" s="42">
        <v>1940.93385231088</v>
      </c>
      <c r="AO52" s="42">
        <v>1940.93385231088</v>
      </c>
      <c r="AP52" s="42">
        <v>1940.93385231088</v>
      </c>
      <c r="AQ52" s="42">
        <v>1940.93385231088</v>
      </c>
      <c r="AR52" s="42">
        <v>1940.93385231088</v>
      </c>
      <c r="AS52" s="42">
        <v>219.89299612830001</v>
      </c>
      <c r="AT52" s="42">
        <v>219.89299612830001</v>
      </c>
      <c r="AU52" s="42">
        <v>219.89299612830001</v>
      </c>
      <c r="AV52" s="42">
        <v>219.89299612830001</v>
      </c>
      <c r="AW52" s="42">
        <v>219.89299612830001</v>
      </c>
      <c r="AX52" s="42">
        <v>219.89299612830001</v>
      </c>
      <c r="AY52" s="42">
        <v>219.89299612830001</v>
      </c>
      <c r="AZ52" s="42">
        <v>219.89299612830001</v>
      </c>
      <c r="BA52" s="42">
        <v>81.585603120019996</v>
      </c>
      <c r="BB52" s="42">
        <v>81.585603120019996</v>
      </c>
      <c r="BC52" s="42">
        <v>81.585603120019996</v>
      </c>
      <c r="BD52" s="42">
        <v>81.585603120019996</v>
      </c>
      <c r="BE52" s="42">
        <v>81.585603120019996</v>
      </c>
      <c r="BF52" s="42">
        <v>81.585603120019996</v>
      </c>
      <c r="BG52" s="42">
        <v>81.585603120019996</v>
      </c>
      <c r="BH52" s="42">
        <v>81.585603120019996</v>
      </c>
      <c r="BI52" s="42">
        <v>81.585603120019996</v>
      </c>
      <c r="BJ52" s="42">
        <v>81.585603120019996</v>
      </c>
      <c r="BK52" s="42">
        <v>81.585603120019996</v>
      </c>
      <c r="BL52" s="42">
        <v>81.585603120019996</v>
      </c>
      <c r="BM52" s="42">
        <v>81.585603120019996</v>
      </c>
      <c r="BN52" s="42">
        <v>81.585603120019996</v>
      </c>
      <c r="BO52" s="42">
        <v>81.585603120019996</v>
      </c>
      <c r="BP52" s="42">
        <v>81.585603120019996</v>
      </c>
      <c r="BQ52" s="42">
        <v>81.585603120019996</v>
      </c>
      <c r="BR52" s="42">
        <v>81.585603120019996</v>
      </c>
      <c r="BS52" s="42">
        <v>81.585603120019996</v>
      </c>
      <c r="BT52" s="42">
        <v>81.585603120019996</v>
      </c>
      <c r="BU52" s="42">
        <v>81.585603120019996</v>
      </c>
    </row>
    <row r="53" spans="1:73" x14ac:dyDescent="0.2">
      <c r="A53" s="107" t="s">
        <v>556</v>
      </c>
      <c r="B53" s="111" t="s">
        <v>1258</v>
      </c>
      <c r="C53" s="25" t="s">
        <v>75</v>
      </c>
      <c r="D53" s="26"/>
      <c r="E53" s="25">
        <v>100</v>
      </c>
      <c r="F53" s="25">
        <v>2</v>
      </c>
      <c r="G53" s="25">
        <v>0.85</v>
      </c>
      <c r="H53" s="25">
        <v>5005</v>
      </c>
      <c r="I53" s="25">
        <v>16</v>
      </c>
      <c r="J53" s="32">
        <f t="shared" si="0"/>
        <v>42542.5</v>
      </c>
      <c r="K53" s="26"/>
      <c r="L53" s="25">
        <v>2.41</v>
      </c>
      <c r="M53" s="25">
        <v>0.51249999999999996</v>
      </c>
      <c r="N53" s="26"/>
      <c r="O53" s="104">
        <v>1</v>
      </c>
      <c r="P53" s="42">
        <v>87.548638139999994</v>
      </c>
      <c r="Q53" s="42">
        <v>86.575875494000002</v>
      </c>
      <c r="R53" s="42">
        <v>85.603112847999995</v>
      </c>
      <c r="S53" s="42">
        <v>84.630350202000002</v>
      </c>
      <c r="T53" s="42">
        <v>83.657587555999996</v>
      </c>
      <c r="U53" s="42">
        <v>83.657587555999996</v>
      </c>
      <c r="V53" s="42">
        <v>82.684824909999989</v>
      </c>
      <c r="W53" s="42">
        <v>81.712062263999997</v>
      </c>
      <c r="X53" s="42">
        <v>81.712062263999997</v>
      </c>
      <c r="Y53" s="42">
        <v>80.73929961799999</v>
      </c>
      <c r="Z53" s="42">
        <v>80.73929961799999</v>
      </c>
      <c r="AA53" s="42">
        <v>79.766536971999997</v>
      </c>
      <c r="AB53" s="42">
        <v>79.766536971999997</v>
      </c>
      <c r="AC53" s="42">
        <v>78.793774325999991</v>
      </c>
      <c r="AD53" s="42">
        <v>78.793774325999991</v>
      </c>
      <c r="AE53" s="42">
        <v>77.821011679999998</v>
      </c>
      <c r="AF53" s="42">
        <v>77.821011679999998</v>
      </c>
      <c r="AG53" s="42">
        <v>76.848249033999991</v>
      </c>
      <c r="AH53" s="42">
        <v>76.848249033999991</v>
      </c>
      <c r="AI53" s="42">
        <v>75.875486387999999</v>
      </c>
      <c r="AJ53" s="42">
        <v>75.875486387999999</v>
      </c>
      <c r="AK53" s="42">
        <v>74.902723741999992</v>
      </c>
      <c r="AL53" s="42">
        <v>74.902723741999992</v>
      </c>
      <c r="AM53" s="42">
        <v>74.902723741999992</v>
      </c>
      <c r="AN53" s="42">
        <v>73.929961096</v>
      </c>
      <c r="AO53" s="42">
        <v>73.929961096</v>
      </c>
      <c r="AP53" s="42">
        <v>72.957198449999993</v>
      </c>
      <c r="AQ53" s="42">
        <v>72.957198449999993</v>
      </c>
      <c r="AR53" s="42">
        <v>71.984435804</v>
      </c>
      <c r="AS53" s="42">
        <v>372.56809341799999</v>
      </c>
      <c r="AT53" s="42">
        <v>361.867704312</v>
      </c>
      <c r="AU53" s="42">
        <v>354.085603144</v>
      </c>
      <c r="AV53" s="42">
        <v>347.27626462199999</v>
      </c>
      <c r="AW53" s="42">
        <v>340.46692610000002</v>
      </c>
      <c r="AX53" s="42">
        <v>334.63035022399998</v>
      </c>
      <c r="AY53" s="42">
        <v>329.76653699399998</v>
      </c>
      <c r="AZ53" s="42">
        <v>324.90272376399997</v>
      </c>
      <c r="BA53" s="42">
        <v>320.03891053400002</v>
      </c>
      <c r="BB53" s="42">
        <v>315.17509730400002</v>
      </c>
      <c r="BC53" s="42">
        <v>311.28404671999999</v>
      </c>
      <c r="BD53" s="42">
        <v>306.42023348999999</v>
      </c>
      <c r="BE53" s="42">
        <v>302.52918290600002</v>
      </c>
      <c r="BF53" s="42">
        <v>298.63813232199999</v>
      </c>
      <c r="BG53" s="42">
        <v>294.74708173800002</v>
      </c>
      <c r="BH53" s="42">
        <v>290.85603115399999</v>
      </c>
      <c r="BI53" s="42">
        <v>286.96498057000002</v>
      </c>
      <c r="BJ53" s="42">
        <v>284.04669263199997</v>
      </c>
      <c r="BK53" s="42">
        <v>280.155642048</v>
      </c>
      <c r="BL53" s="42">
        <v>276.26459146399998</v>
      </c>
      <c r="BM53" s="42">
        <v>273.34630352599999</v>
      </c>
      <c r="BN53" s="42">
        <v>269.45525294200002</v>
      </c>
      <c r="BO53" s="42">
        <v>266.53696500400002</v>
      </c>
      <c r="BP53" s="42">
        <v>263.61867706599998</v>
      </c>
      <c r="BQ53" s="42">
        <v>259.72762648200001</v>
      </c>
      <c r="BR53" s="42">
        <v>256.80933854400001</v>
      </c>
      <c r="BS53" s="42">
        <v>253.89105060599999</v>
      </c>
      <c r="BT53" s="42">
        <v>250.972762668</v>
      </c>
      <c r="BU53" s="42">
        <v>248.05447473000001</v>
      </c>
    </row>
    <row r="54" spans="1:73" x14ac:dyDescent="0.2">
      <c r="A54" s="107" t="s">
        <v>556</v>
      </c>
      <c r="B54" s="111" t="s">
        <v>1259</v>
      </c>
      <c r="C54" s="25" t="s">
        <v>75</v>
      </c>
      <c r="D54" s="26"/>
      <c r="E54" s="25">
        <v>100</v>
      </c>
      <c r="F54" s="25">
        <v>4</v>
      </c>
      <c r="G54" s="25">
        <v>0.85</v>
      </c>
      <c r="H54" s="25">
        <v>5005</v>
      </c>
      <c r="I54" s="25">
        <v>16</v>
      </c>
      <c r="J54" s="32">
        <f t="shared" si="0"/>
        <v>85085</v>
      </c>
      <c r="K54" s="26"/>
      <c r="L54" s="25">
        <v>4.0199999999999996</v>
      </c>
      <c r="M54" s="25">
        <v>0.51249999999999996</v>
      </c>
      <c r="N54" s="26"/>
      <c r="O54" s="104">
        <v>1</v>
      </c>
      <c r="P54" s="42">
        <v>87.548638139999994</v>
      </c>
      <c r="Q54" s="42">
        <v>86.575875494000002</v>
      </c>
      <c r="R54" s="42">
        <v>85.603112847999995</v>
      </c>
      <c r="S54" s="42">
        <v>84.630350202000002</v>
      </c>
      <c r="T54" s="42">
        <v>83.657587555999996</v>
      </c>
      <c r="U54" s="42">
        <v>83.657587555999996</v>
      </c>
      <c r="V54" s="42">
        <v>82.684824909999989</v>
      </c>
      <c r="W54" s="42">
        <v>81.712062263999997</v>
      </c>
      <c r="X54" s="42">
        <v>81.712062263999997</v>
      </c>
      <c r="Y54" s="42">
        <v>80.73929961799999</v>
      </c>
      <c r="Z54" s="42">
        <v>80.73929961799999</v>
      </c>
      <c r="AA54" s="42">
        <v>79.766536971999997</v>
      </c>
      <c r="AB54" s="42">
        <v>79.766536971999997</v>
      </c>
      <c r="AC54" s="42">
        <v>78.793774325999991</v>
      </c>
      <c r="AD54" s="42">
        <v>78.793774325999991</v>
      </c>
      <c r="AE54" s="42">
        <v>77.821011679999998</v>
      </c>
      <c r="AF54" s="42">
        <v>77.821011679999998</v>
      </c>
      <c r="AG54" s="42">
        <v>76.848249033999991</v>
      </c>
      <c r="AH54" s="42">
        <v>76.848249033999991</v>
      </c>
      <c r="AI54" s="42">
        <v>75.875486387999999</v>
      </c>
      <c r="AJ54" s="42">
        <v>75.875486387999999</v>
      </c>
      <c r="AK54" s="42">
        <v>74.902723741999992</v>
      </c>
      <c r="AL54" s="42">
        <v>74.902723741999992</v>
      </c>
      <c r="AM54" s="42">
        <v>74.902723741999992</v>
      </c>
      <c r="AN54" s="42">
        <v>73.929961096</v>
      </c>
      <c r="AO54" s="42">
        <v>73.929961096</v>
      </c>
      <c r="AP54" s="42">
        <v>72.957198449999993</v>
      </c>
      <c r="AQ54" s="42">
        <v>72.957198449999993</v>
      </c>
      <c r="AR54" s="42">
        <v>71.984435804</v>
      </c>
      <c r="AS54" s="42">
        <v>342.41245139199998</v>
      </c>
      <c r="AT54" s="42">
        <v>333.657587578</v>
      </c>
      <c r="AU54" s="42">
        <v>325.87548641000001</v>
      </c>
      <c r="AV54" s="42">
        <v>319.06614788799999</v>
      </c>
      <c r="AW54" s="42">
        <v>313.22957201200001</v>
      </c>
      <c r="AX54" s="42">
        <v>307.39299613600002</v>
      </c>
      <c r="AY54" s="42">
        <v>302.52918290600002</v>
      </c>
      <c r="AZ54" s="42">
        <v>297.66536967600001</v>
      </c>
      <c r="BA54" s="42">
        <v>293.77431909199998</v>
      </c>
      <c r="BB54" s="42">
        <v>288.91050586199998</v>
      </c>
      <c r="BC54" s="42">
        <v>285.01945527800001</v>
      </c>
      <c r="BD54" s="42">
        <v>281.12840469399998</v>
      </c>
      <c r="BE54" s="42">
        <v>277.23735411000001</v>
      </c>
      <c r="BF54" s="42">
        <v>273.34630352599999</v>
      </c>
      <c r="BG54" s="42">
        <v>269.45525294200002</v>
      </c>
      <c r="BH54" s="42">
        <v>265.56420235799999</v>
      </c>
      <c r="BI54" s="42">
        <v>262.64591442</v>
      </c>
      <c r="BJ54" s="42">
        <v>258.75486383600003</v>
      </c>
      <c r="BK54" s="42">
        <v>255.83657589800001</v>
      </c>
      <c r="BL54" s="42">
        <v>252.91828795999999</v>
      </c>
      <c r="BM54" s="42">
        <v>249.02723737599999</v>
      </c>
      <c r="BN54" s="42">
        <v>246.108949438</v>
      </c>
      <c r="BO54" s="42">
        <v>243.1906615</v>
      </c>
      <c r="BP54" s="42">
        <v>240.27237356200001</v>
      </c>
      <c r="BQ54" s="42">
        <v>237.35408562399999</v>
      </c>
      <c r="BR54" s="42">
        <v>234.435797686</v>
      </c>
      <c r="BS54" s="42">
        <v>231.51750974800001</v>
      </c>
      <c r="BT54" s="42">
        <v>228.59922180999999</v>
      </c>
      <c r="BU54" s="42">
        <v>225.680933872</v>
      </c>
    </row>
    <row r="55" spans="1:73" x14ac:dyDescent="0.2">
      <c r="A55" s="107" t="s">
        <v>556</v>
      </c>
      <c r="B55" s="111" t="s">
        <v>1260</v>
      </c>
      <c r="C55" s="25" t="s">
        <v>75</v>
      </c>
      <c r="D55" s="26"/>
      <c r="E55" s="25">
        <v>100</v>
      </c>
      <c r="F55" s="25">
        <v>8</v>
      </c>
      <c r="G55" s="25">
        <v>0.85</v>
      </c>
      <c r="H55" s="25">
        <v>5005</v>
      </c>
      <c r="I55" s="25">
        <v>16</v>
      </c>
      <c r="J55" s="32">
        <f t="shared" si="0"/>
        <v>170170</v>
      </c>
      <c r="K55" s="26"/>
      <c r="L55" s="25">
        <v>7.19</v>
      </c>
      <c r="M55" s="25">
        <v>0.51249999999999996</v>
      </c>
      <c r="N55" s="26"/>
      <c r="O55" s="104">
        <v>1</v>
      </c>
      <c r="P55" s="42">
        <v>87.548638139999994</v>
      </c>
      <c r="Q55" s="42">
        <v>86.575875494000002</v>
      </c>
      <c r="R55" s="42">
        <v>85.603112847999995</v>
      </c>
      <c r="S55" s="42">
        <v>84.630350202000002</v>
      </c>
      <c r="T55" s="42">
        <v>83.657587555999996</v>
      </c>
      <c r="U55" s="42">
        <v>83.657587555999996</v>
      </c>
      <c r="V55" s="42">
        <v>82.684824909999989</v>
      </c>
      <c r="W55" s="42">
        <v>81.712062263999997</v>
      </c>
      <c r="X55" s="42">
        <v>81.712062263999997</v>
      </c>
      <c r="Y55" s="42">
        <v>80.73929961799999</v>
      </c>
      <c r="Z55" s="42">
        <v>80.73929961799999</v>
      </c>
      <c r="AA55" s="42">
        <v>79.766536971999997</v>
      </c>
      <c r="AB55" s="42">
        <v>79.766536971999997</v>
      </c>
      <c r="AC55" s="42">
        <v>78.793774325999991</v>
      </c>
      <c r="AD55" s="42">
        <v>78.793774325999991</v>
      </c>
      <c r="AE55" s="42">
        <v>77.821011679999998</v>
      </c>
      <c r="AF55" s="42">
        <v>77.821011679999998</v>
      </c>
      <c r="AG55" s="42">
        <v>76.848249033999991</v>
      </c>
      <c r="AH55" s="42">
        <v>76.848249033999991</v>
      </c>
      <c r="AI55" s="42">
        <v>75.875486387999999</v>
      </c>
      <c r="AJ55" s="42">
        <v>75.875486387999999</v>
      </c>
      <c r="AK55" s="42">
        <v>74.902723741999992</v>
      </c>
      <c r="AL55" s="42">
        <v>74.902723741999992</v>
      </c>
      <c r="AM55" s="42">
        <v>74.902723741999992</v>
      </c>
      <c r="AN55" s="42">
        <v>73.929961096</v>
      </c>
      <c r="AO55" s="42">
        <v>73.929961096</v>
      </c>
      <c r="AP55" s="42">
        <v>72.957198449999993</v>
      </c>
      <c r="AQ55" s="42">
        <v>72.957198449999993</v>
      </c>
      <c r="AR55" s="42">
        <v>71.984435804</v>
      </c>
      <c r="AS55" s="42">
        <v>333.657587578</v>
      </c>
      <c r="AT55" s="42">
        <v>323.92996111799999</v>
      </c>
      <c r="AU55" s="42">
        <v>316.14785995</v>
      </c>
      <c r="AV55" s="42">
        <v>310.31128407400001</v>
      </c>
      <c r="AW55" s="42">
        <v>304.47470819799997</v>
      </c>
      <c r="AX55" s="42">
        <v>298.63813232199999</v>
      </c>
      <c r="AY55" s="42">
        <v>293.77431909199998</v>
      </c>
      <c r="AZ55" s="42">
        <v>288.91050586199998</v>
      </c>
      <c r="BA55" s="42">
        <v>285.01945527800001</v>
      </c>
      <c r="BB55" s="42">
        <v>280.155642048</v>
      </c>
      <c r="BC55" s="42">
        <v>276.26459146399998</v>
      </c>
      <c r="BD55" s="42">
        <v>272.37354088000001</v>
      </c>
      <c r="BE55" s="42">
        <v>268.48249029599998</v>
      </c>
      <c r="BF55" s="42">
        <v>264.59143971200001</v>
      </c>
      <c r="BG55" s="42">
        <v>261.67315177400002</v>
      </c>
      <c r="BH55" s="42">
        <v>257.78210118999999</v>
      </c>
      <c r="BI55" s="42">
        <v>254.863813252</v>
      </c>
      <c r="BJ55" s="42">
        <v>250.972762668</v>
      </c>
      <c r="BK55" s="42">
        <v>248.05447473000001</v>
      </c>
      <c r="BL55" s="42">
        <v>244.16342414600001</v>
      </c>
      <c r="BM55" s="42">
        <v>241.24513620799999</v>
      </c>
      <c r="BN55" s="42">
        <v>238.32684827</v>
      </c>
      <c r="BO55" s="42">
        <v>235.40856033200001</v>
      </c>
      <c r="BP55" s="42">
        <v>232.49027239399999</v>
      </c>
      <c r="BQ55" s="42">
        <v>229.571984456</v>
      </c>
      <c r="BR55" s="42">
        <v>226.653696518</v>
      </c>
      <c r="BS55" s="42">
        <v>223.73540858000001</v>
      </c>
      <c r="BT55" s="42">
        <v>220.81712064199999</v>
      </c>
      <c r="BU55" s="42">
        <v>217.898832704</v>
      </c>
    </row>
    <row r="56" spans="1:73" x14ac:dyDescent="0.2">
      <c r="A56" s="107" t="s">
        <v>556</v>
      </c>
      <c r="B56" s="111" t="s">
        <v>1261</v>
      </c>
      <c r="C56" s="25" t="s">
        <v>75</v>
      </c>
      <c r="D56" s="26"/>
      <c r="E56" s="25">
        <v>100</v>
      </c>
      <c r="F56" s="25">
        <v>10</v>
      </c>
      <c r="G56" s="25">
        <v>0.85</v>
      </c>
      <c r="H56" s="25">
        <v>5005</v>
      </c>
      <c r="I56" s="25">
        <v>16</v>
      </c>
      <c r="J56" s="32">
        <f t="shared" si="0"/>
        <v>212712.5</v>
      </c>
      <c r="K56" s="26"/>
      <c r="L56" s="25">
        <v>8.76</v>
      </c>
      <c r="M56" s="25">
        <v>0.51249999999999996</v>
      </c>
      <c r="N56" s="26"/>
      <c r="O56" s="104">
        <v>1</v>
      </c>
      <c r="P56" s="42">
        <v>87.548638139999994</v>
      </c>
      <c r="Q56" s="42">
        <v>86.575875494000002</v>
      </c>
      <c r="R56" s="42">
        <v>85.603112847999995</v>
      </c>
      <c r="S56" s="42">
        <v>84.630350202000002</v>
      </c>
      <c r="T56" s="42">
        <v>83.657587555999996</v>
      </c>
      <c r="U56" s="42">
        <v>83.657587555999996</v>
      </c>
      <c r="V56" s="42">
        <v>82.684824909999989</v>
      </c>
      <c r="W56" s="42">
        <v>81.712062263999997</v>
      </c>
      <c r="X56" s="42">
        <v>81.712062263999997</v>
      </c>
      <c r="Y56" s="42">
        <v>80.73929961799999</v>
      </c>
      <c r="Z56" s="42">
        <v>80.73929961799999</v>
      </c>
      <c r="AA56" s="42">
        <v>79.766536971999997</v>
      </c>
      <c r="AB56" s="42">
        <v>79.766536971999997</v>
      </c>
      <c r="AC56" s="42">
        <v>78.793774325999991</v>
      </c>
      <c r="AD56" s="42">
        <v>78.793774325999991</v>
      </c>
      <c r="AE56" s="42">
        <v>77.821011679999998</v>
      </c>
      <c r="AF56" s="42">
        <v>77.821011679999998</v>
      </c>
      <c r="AG56" s="42">
        <v>76.848249033999991</v>
      </c>
      <c r="AH56" s="42">
        <v>76.848249033999991</v>
      </c>
      <c r="AI56" s="42">
        <v>75.875486387999999</v>
      </c>
      <c r="AJ56" s="42">
        <v>75.875486387999999</v>
      </c>
      <c r="AK56" s="42">
        <v>74.902723741999992</v>
      </c>
      <c r="AL56" s="42">
        <v>74.902723741999992</v>
      </c>
      <c r="AM56" s="42">
        <v>74.902723741999992</v>
      </c>
      <c r="AN56" s="42">
        <v>73.929961096</v>
      </c>
      <c r="AO56" s="42">
        <v>73.929961096</v>
      </c>
      <c r="AP56" s="42">
        <v>72.957198449999993</v>
      </c>
      <c r="AQ56" s="42">
        <v>72.957198449999993</v>
      </c>
      <c r="AR56" s="42">
        <v>71.984435804</v>
      </c>
      <c r="AS56" s="42">
        <v>331.71206228599999</v>
      </c>
      <c r="AT56" s="42">
        <v>322.95719847200002</v>
      </c>
      <c r="AU56" s="42">
        <v>315.17509730400002</v>
      </c>
      <c r="AV56" s="42">
        <v>308.365758782</v>
      </c>
      <c r="AW56" s="42">
        <v>302.52918290600002</v>
      </c>
      <c r="AX56" s="42">
        <v>297.66536967600001</v>
      </c>
      <c r="AY56" s="42">
        <v>292.80155644600001</v>
      </c>
      <c r="AZ56" s="42">
        <v>287.937743216</v>
      </c>
      <c r="BA56" s="42">
        <v>283.073929986</v>
      </c>
      <c r="BB56" s="42">
        <v>279.18287940200003</v>
      </c>
      <c r="BC56" s="42">
        <v>275.291828818</v>
      </c>
      <c r="BD56" s="42">
        <v>271.40077823399997</v>
      </c>
      <c r="BE56" s="42">
        <v>267.50972765</v>
      </c>
      <c r="BF56" s="42">
        <v>263.61867706599998</v>
      </c>
      <c r="BG56" s="42">
        <v>259.72762648200001</v>
      </c>
      <c r="BH56" s="42">
        <v>256.80933854400001</v>
      </c>
      <c r="BI56" s="42">
        <v>252.91828795999999</v>
      </c>
      <c r="BJ56" s="42">
        <v>250.00000002199999</v>
      </c>
      <c r="BK56" s="42">
        <v>247.081712084</v>
      </c>
      <c r="BL56" s="42">
        <v>243.1906615</v>
      </c>
      <c r="BM56" s="42">
        <v>240.27237356200001</v>
      </c>
      <c r="BN56" s="42">
        <v>237.35408562399999</v>
      </c>
      <c r="BO56" s="42">
        <v>234.435797686</v>
      </c>
      <c r="BP56" s="42">
        <v>231.51750974800001</v>
      </c>
      <c r="BQ56" s="42">
        <v>228.59922180999999</v>
      </c>
      <c r="BR56" s="42">
        <v>225.680933872</v>
      </c>
      <c r="BS56" s="42">
        <v>222.76264593400001</v>
      </c>
      <c r="BT56" s="42">
        <v>219.84435799600001</v>
      </c>
      <c r="BU56" s="42">
        <v>216.92607005799999</v>
      </c>
    </row>
    <row r="57" spans="1:73" x14ac:dyDescent="0.2">
      <c r="A57" s="107" t="s">
        <v>556</v>
      </c>
      <c r="B57" s="111" t="s">
        <v>1262</v>
      </c>
      <c r="C57" s="25" t="s">
        <v>75</v>
      </c>
      <c r="D57" s="26"/>
      <c r="E57" s="25">
        <v>100</v>
      </c>
      <c r="F57" s="25">
        <v>24</v>
      </c>
      <c r="G57" s="25">
        <v>0.85</v>
      </c>
      <c r="H57" s="25">
        <v>2912</v>
      </c>
      <c r="I57" s="25">
        <v>16</v>
      </c>
      <c r="J57" s="32">
        <f t="shared" si="0"/>
        <v>297024</v>
      </c>
      <c r="K57" s="26"/>
      <c r="L57" s="25">
        <v>19.62</v>
      </c>
      <c r="M57" s="25">
        <v>0.51249999999999996</v>
      </c>
      <c r="N57" s="26"/>
      <c r="O57" s="104">
        <v>1</v>
      </c>
      <c r="P57" s="42">
        <v>87.548638139999994</v>
      </c>
      <c r="Q57" s="42">
        <v>86.575875494000002</v>
      </c>
      <c r="R57" s="42">
        <v>85.603112847999995</v>
      </c>
      <c r="S57" s="42">
        <v>84.630350202000002</v>
      </c>
      <c r="T57" s="42">
        <v>83.657587555999996</v>
      </c>
      <c r="U57" s="42">
        <v>83.657587555999996</v>
      </c>
      <c r="V57" s="42">
        <v>82.684824909999989</v>
      </c>
      <c r="W57" s="42">
        <v>81.712062263999997</v>
      </c>
      <c r="X57" s="42">
        <v>81.712062263999997</v>
      </c>
      <c r="Y57" s="42">
        <v>80.73929961799999</v>
      </c>
      <c r="Z57" s="42">
        <v>80.73929961799999</v>
      </c>
      <c r="AA57" s="42">
        <v>79.766536971999997</v>
      </c>
      <c r="AB57" s="42">
        <v>79.766536971999997</v>
      </c>
      <c r="AC57" s="42">
        <v>78.793774325999991</v>
      </c>
      <c r="AD57" s="42">
        <v>78.793774325999991</v>
      </c>
      <c r="AE57" s="42">
        <v>77.821011679999998</v>
      </c>
      <c r="AF57" s="42">
        <v>77.821011679999998</v>
      </c>
      <c r="AG57" s="42">
        <v>76.848249033999991</v>
      </c>
      <c r="AH57" s="42">
        <v>76.848249033999991</v>
      </c>
      <c r="AI57" s="42">
        <v>75.875486387999999</v>
      </c>
      <c r="AJ57" s="42">
        <v>75.875486387999999</v>
      </c>
      <c r="AK57" s="42">
        <v>74.902723741999992</v>
      </c>
      <c r="AL57" s="42">
        <v>74.902723741999992</v>
      </c>
      <c r="AM57" s="42">
        <v>74.902723741999992</v>
      </c>
      <c r="AN57" s="42">
        <v>73.929961096</v>
      </c>
      <c r="AO57" s="42">
        <v>73.929961096</v>
      </c>
      <c r="AP57" s="42">
        <v>72.957198449999993</v>
      </c>
      <c r="AQ57" s="42">
        <v>72.957198449999993</v>
      </c>
      <c r="AR57" s="42">
        <v>71.984435804</v>
      </c>
      <c r="AS57" s="42">
        <v>325.87548641000001</v>
      </c>
      <c r="AT57" s="42">
        <v>317.12062259599998</v>
      </c>
      <c r="AU57" s="42">
        <v>309.33852142799998</v>
      </c>
      <c r="AV57" s="42">
        <v>303.501945552</v>
      </c>
      <c r="AW57" s="42">
        <v>297.66536967600001</v>
      </c>
      <c r="AX57" s="42">
        <v>291.82879380000003</v>
      </c>
      <c r="AY57" s="42">
        <v>286.96498057000002</v>
      </c>
      <c r="AZ57" s="42">
        <v>283.073929986</v>
      </c>
      <c r="BA57" s="42">
        <v>278.21011675599999</v>
      </c>
      <c r="BB57" s="42">
        <v>274.31906617200002</v>
      </c>
      <c r="BC57" s="42">
        <v>270.42801558799999</v>
      </c>
      <c r="BD57" s="42">
        <v>266.53696500400002</v>
      </c>
      <c r="BE57" s="42">
        <v>262.64591442</v>
      </c>
      <c r="BF57" s="42">
        <v>258.75486383600003</v>
      </c>
      <c r="BG57" s="42">
        <v>255.83657589800001</v>
      </c>
      <c r="BH57" s="42">
        <v>251.94552531400001</v>
      </c>
      <c r="BI57" s="42">
        <v>249.02723737599999</v>
      </c>
      <c r="BJ57" s="42">
        <v>245.13618679199999</v>
      </c>
      <c r="BK57" s="42">
        <v>242.217898854</v>
      </c>
      <c r="BL57" s="42">
        <v>239.29961091600001</v>
      </c>
      <c r="BM57" s="42">
        <v>235.40856033200001</v>
      </c>
      <c r="BN57" s="42">
        <v>232.49027239399999</v>
      </c>
      <c r="BO57" s="42">
        <v>229.571984456</v>
      </c>
      <c r="BP57" s="42">
        <v>226.653696518</v>
      </c>
      <c r="BQ57" s="42">
        <v>223.73540858000001</v>
      </c>
      <c r="BR57" s="42">
        <v>220.81712064199999</v>
      </c>
      <c r="BS57" s="42">
        <v>217.898832704</v>
      </c>
      <c r="BT57" s="42">
        <v>215.95330741199999</v>
      </c>
      <c r="BU57" s="42">
        <v>213.03501947399999</v>
      </c>
    </row>
    <row r="58" spans="1:73" ht="16" thickBot="1" x14ac:dyDescent="0.25">
      <c r="A58" s="107" t="s">
        <v>556</v>
      </c>
      <c r="B58" s="112" t="s">
        <v>1263</v>
      </c>
      <c r="C58" s="116" t="s">
        <v>75</v>
      </c>
      <c r="D58" s="117"/>
      <c r="E58" s="116">
        <v>100</v>
      </c>
      <c r="F58" s="116">
        <v>100</v>
      </c>
      <c r="G58" s="116">
        <v>0.85</v>
      </c>
      <c r="H58" s="116">
        <v>688</v>
      </c>
      <c r="I58" s="116">
        <v>16</v>
      </c>
      <c r="J58" s="118">
        <f t="shared" si="0"/>
        <v>292400</v>
      </c>
      <c r="K58" s="117"/>
      <c r="L58" s="116">
        <v>77.06</v>
      </c>
      <c r="M58" s="116">
        <v>0.51249999999999996</v>
      </c>
      <c r="N58" s="117"/>
      <c r="O58" s="119">
        <v>1</v>
      </c>
      <c r="P58" s="120">
        <v>87.548638139999994</v>
      </c>
      <c r="Q58" s="120">
        <v>86.575875494000002</v>
      </c>
      <c r="R58" s="120">
        <v>85.603112847999995</v>
      </c>
      <c r="S58" s="120">
        <v>84.630350202000002</v>
      </c>
      <c r="T58" s="120">
        <v>83.657587555999996</v>
      </c>
      <c r="U58" s="120">
        <v>83.657587555999996</v>
      </c>
      <c r="V58" s="120">
        <v>82.684824909999989</v>
      </c>
      <c r="W58" s="120">
        <v>81.712062263999997</v>
      </c>
      <c r="X58" s="120">
        <v>81.712062263999997</v>
      </c>
      <c r="Y58" s="120">
        <v>80.73929961799999</v>
      </c>
      <c r="Z58" s="120">
        <v>80.73929961799999</v>
      </c>
      <c r="AA58" s="120">
        <v>79.766536971999997</v>
      </c>
      <c r="AB58" s="120">
        <v>79.766536971999997</v>
      </c>
      <c r="AC58" s="120">
        <v>78.793774325999991</v>
      </c>
      <c r="AD58" s="120">
        <v>78.793774325999991</v>
      </c>
      <c r="AE58" s="120">
        <v>77.821011679999998</v>
      </c>
      <c r="AF58" s="120">
        <v>77.821011679999998</v>
      </c>
      <c r="AG58" s="120">
        <v>76.848249033999991</v>
      </c>
      <c r="AH58" s="120">
        <v>76.848249033999991</v>
      </c>
      <c r="AI58" s="120">
        <v>75.875486387999999</v>
      </c>
      <c r="AJ58" s="120">
        <v>75.875486387999999</v>
      </c>
      <c r="AK58" s="120">
        <v>74.902723741999992</v>
      </c>
      <c r="AL58" s="120">
        <v>74.902723741999992</v>
      </c>
      <c r="AM58" s="120">
        <v>74.902723741999992</v>
      </c>
      <c r="AN58" s="120">
        <v>73.929961096</v>
      </c>
      <c r="AO58" s="120">
        <v>73.929961096</v>
      </c>
      <c r="AP58" s="120">
        <v>72.957198449999993</v>
      </c>
      <c r="AQ58" s="120">
        <v>72.957198449999993</v>
      </c>
      <c r="AR58" s="120">
        <v>71.984435804</v>
      </c>
      <c r="AS58" s="120">
        <v>320.03891053400002</v>
      </c>
      <c r="AT58" s="120">
        <v>310.31128407400001</v>
      </c>
      <c r="AU58" s="120">
        <v>303.501945552</v>
      </c>
      <c r="AV58" s="120">
        <v>296.69260702999998</v>
      </c>
      <c r="AW58" s="120">
        <v>291.82879380000003</v>
      </c>
      <c r="AX58" s="120">
        <v>285.99221792399999</v>
      </c>
      <c r="AY58" s="120">
        <v>281.12840469399998</v>
      </c>
      <c r="AZ58" s="120">
        <v>277.23735411000001</v>
      </c>
      <c r="BA58" s="120">
        <v>272.37354088000001</v>
      </c>
      <c r="BB58" s="120">
        <v>268.48249029599998</v>
      </c>
      <c r="BC58" s="120">
        <v>264.59143971200001</v>
      </c>
      <c r="BD58" s="120">
        <v>260.70038912799998</v>
      </c>
      <c r="BE58" s="120">
        <v>256.80933854400001</v>
      </c>
      <c r="BF58" s="120">
        <v>253.89105060599999</v>
      </c>
      <c r="BG58" s="120">
        <v>250.00000002199999</v>
      </c>
      <c r="BH58" s="120">
        <v>247.081712084</v>
      </c>
      <c r="BI58" s="120">
        <v>243.1906615</v>
      </c>
      <c r="BJ58" s="120">
        <v>240.27237356200001</v>
      </c>
      <c r="BK58" s="120">
        <v>237.35408562399999</v>
      </c>
      <c r="BL58" s="120">
        <v>234.435797686</v>
      </c>
      <c r="BM58" s="120">
        <v>230.544747102</v>
      </c>
      <c r="BN58" s="120">
        <v>227.62645916400001</v>
      </c>
      <c r="BO58" s="120">
        <v>224.70817122599999</v>
      </c>
      <c r="BP58" s="120">
        <v>221.789883288</v>
      </c>
      <c r="BQ58" s="120">
        <v>218.87159535000001</v>
      </c>
      <c r="BR58" s="120">
        <v>216.92607005799999</v>
      </c>
      <c r="BS58" s="120">
        <v>214.00778212</v>
      </c>
      <c r="BT58" s="120">
        <v>211.08949418200001</v>
      </c>
      <c r="BU58" s="120">
        <v>208.17120624399999</v>
      </c>
    </row>
  </sheetData>
  <phoneticPr fontId="7" type="noConversion"/>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2AB16-7C10-4DDE-9835-E71CD6BE5B4E}">
  <sheetPr codeName="Sheet12">
    <tabColor theme="7" tint="0.79998168889431442"/>
  </sheetPr>
  <dimension ref="A1:AP180"/>
  <sheetViews>
    <sheetView workbookViewId="0">
      <pane xSplit="2" topLeftCell="C1" activePane="topRight" state="frozen"/>
      <selection pane="topRight" activeCell="K25" sqref="K25"/>
    </sheetView>
  </sheetViews>
  <sheetFormatPr baseColWidth="10" defaultColWidth="8.83203125" defaultRowHeight="15" x14ac:dyDescent="0.2"/>
  <cols>
    <col min="1" max="1" width="18.1640625" customWidth="1"/>
    <col min="2" max="2" width="28.6640625" customWidth="1"/>
    <col min="3" max="3" width="7.1640625" customWidth="1"/>
    <col min="4" max="36" width="7.5" customWidth="1"/>
  </cols>
  <sheetData>
    <row r="1" spans="1:42" x14ac:dyDescent="0.2">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row>
    <row r="2" spans="1:42" ht="17" thickBot="1" x14ac:dyDescent="0.25">
      <c r="A2" s="11" t="s">
        <v>69</v>
      </c>
      <c r="B2" s="11" t="s">
        <v>72</v>
      </c>
      <c r="C2" s="142">
        <v>2021</v>
      </c>
      <c r="D2" s="142">
        <v>2022</v>
      </c>
      <c r="E2" s="142">
        <v>2023</v>
      </c>
      <c r="F2" s="142">
        <v>2024</v>
      </c>
      <c r="G2" s="142">
        <v>2025</v>
      </c>
      <c r="H2" s="142">
        <v>2026</v>
      </c>
      <c r="I2" s="142">
        <v>2027</v>
      </c>
      <c r="J2" s="142">
        <v>2028</v>
      </c>
      <c r="K2" s="142">
        <v>2029</v>
      </c>
      <c r="L2" s="142">
        <v>2030</v>
      </c>
      <c r="M2" s="142">
        <v>2031</v>
      </c>
      <c r="N2" s="142">
        <v>2032</v>
      </c>
      <c r="O2" s="142">
        <v>2033</v>
      </c>
      <c r="P2" s="142">
        <v>2034</v>
      </c>
      <c r="Q2" s="142">
        <v>2035</v>
      </c>
      <c r="R2" s="142">
        <v>2036</v>
      </c>
      <c r="S2" s="142">
        <v>2037</v>
      </c>
      <c r="T2" s="142">
        <v>2038</v>
      </c>
      <c r="U2" s="142">
        <v>2039</v>
      </c>
      <c r="V2" s="142">
        <v>2040</v>
      </c>
      <c r="W2" s="142">
        <v>2041</v>
      </c>
      <c r="X2" s="142">
        <v>2042</v>
      </c>
      <c r="Y2" s="142">
        <v>2043</v>
      </c>
      <c r="Z2" s="142">
        <v>2044</v>
      </c>
      <c r="AA2" s="142">
        <v>2045</v>
      </c>
      <c r="AB2" s="142">
        <v>2046</v>
      </c>
      <c r="AC2" s="142">
        <v>2047</v>
      </c>
      <c r="AD2" s="142">
        <v>2048</v>
      </c>
      <c r="AE2" s="142">
        <v>2049</v>
      </c>
      <c r="AF2" s="142">
        <v>2050</v>
      </c>
      <c r="AG2" s="142">
        <v>2051</v>
      </c>
      <c r="AH2" s="142">
        <v>2052</v>
      </c>
      <c r="AI2" s="142">
        <v>2053</v>
      </c>
      <c r="AJ2" s="142">
        <v>2054</v>
      </c>
      <c r="AK2" s="142">
        <v>2055</v>
      </c>
      <c r="AL2" s="142">
        <v>2056</v>
      </c>
      <c r="AM2" s="142">
        <v>2057</v>
      </c>
      <c r="AN2" s="142">
        <v>2058</v>
      </c>
      <c r="AO2" s="142">
        <v>2059</v>
      </c>
      <c r="AP2" s="142">
        <v>2060</v>
      </c>
    </row>
    <row r="3" spans="1:42" x14ac:dyDescent="0.2">
      <c r="A3" s="18" t="s">
        <v>601</v>
      </c>
      <c r="B3" s="61" t="s">
        <v>1242</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2">
      <c r="A4" s="18" t="s">
        <v>602</v>
      </c>
      <c r="B4" s="61" t="s">
        <v>1243</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2">
      <c r="A5" s="18" t="s">
        <v>603</v>
      </c>
      <c r="B5" s="61" t="s">
        <v>1244</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2">
      <c r="A6" s="18" t="s">
        <v>604</v>
      </c>
      <c r="B6" s="61" t="s">
        <v>1245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2">
      <c r="A7" s="18" t="s">
        <v>606</v>
      </c>
      <c r="B7" s="61" t="s">
        <v>1246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2">
      <c r="A8" s="18" t="s">
        <v>608</v>
      </c>
      <c r="B8" s="61" t="s">
        <v>1247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2">
      <c r="A9" s="18" t="s">
        <v>610</v>
      </c>
      <c r="B9" s="61" t="s">
        <v>1248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2">
      <c r="A10" s="18" t="s">
        <v>611</v>
      </c>
      <c r="B10" s="111" t="s">
        <v>1249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2">
      <c r="A11" s="18" t="s">
        <v>614</v>
      </c>
      <c r="B11" s="111" t="s">
        <v>1250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2">
      <c r="A12" s="18" t="s">
        <v>615</v>
      </c>
      <c r="B12" s="111" t="s">
        <v>1251</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2">
      <c r="A13" s="18" t="s">
        <v>616</v>
      </c>
      <c r="B13" s="111" t="s">
        <v>1252</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2">
      <c r="A14" s="18" t="s">
        <v>617</v>
      </c>
      <c r="B14" s="111" t="s">
        <v>1253</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2">
      <c r="A15" s="18" t="s">
        <v>618</v>
      </c>
      <c r="B15" s="111" t="s">
        <v>1254</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2">
      <c r="A16" s="18" t="s">
        <v>619</v>
      </c>
      <c r="B16" s="111" t="s">
        <v>1288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2">
      <c r="A17" s="18" t="s">
        <v>621</v>
      </c>
      <c r="B17" s="111" t="s">
        <v>1289</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2">
      <c r="A18" s="18" t="s">
        <v>622</v>
      </c>
      <c r="B18" s="111" t="s">
        <v>1290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2">
      <c r="A19" s="18" t="s">
        <v>623</v>
      </c>
      <c r="B19" s="111" t="s">
        <v>1255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2">
      <c r="A20" s="18" t="s">
        <v>624</v>
      </c>
      <c r="B20" s="111" t="s">
        <v>1256</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2">
      <c r="A21" s="18" t="s">
        <v>625</v>
      </c>
      <c r="B21" s="111" t="s">
        <v>1257</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2">
      <c r="A22" s="18" t="s">
        <v>626</v>
      </c>
      <c r="B22" s="111" t="s">
        <v>1258</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2">
      <c r="A23" s="18" t="s">
        <v>627</v>
      </c>
      <c r="B23" s="111" t="s">
        <v>1259</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2">
      <c r="A24" s="18" t="s">
        <v>628</v>
      </c>
      <c r="B24" s="111" t="s">
        <v>1260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2">
      <c r="A25" s="18" t="s">
        <v>629</v>
      </c>
      <c r="B25" s="111" t="s">
        <v>1261</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2">
      <c r="A26" s="18" t="s">
        <v>630</v>
      </c>
      <c r="B26" s="111" t="s">
        <v>1262</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ht="16" thickBot="1" x14ac:dyDescent="0.25">
      <c r="A27" s="18" t="s">
        <v>631</v>
      </c>
      <c r="B27" s="112" t="s">
        <v>1263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2">
      <c r="A28" s="18" t="s">
        <v>632</v>
      </c>
      <c r="B28" s="133" t="s">
        <v>633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2">
      <c r="A29" s="18" t="s">
        <v>635</v>
      </c>
      <c r="B29" s="133" t="s">
        <v>636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2">
      <c r="A30" s="18" t="s">
        <v>638</v>
      </c>
      <c r="B30" s="133" t="s">
        <v>639</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2">
      <c r="A31" s="18" t="s">
        <v>641</v>
      </c>
      <c r="B31" s="133" t="s">
        <v>642</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2">
      <c r="A32" s="18" t="s">
        <v>643</v>
      </c>
      <c r="B32" s="133" t="s">
        <v>644</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2">
      <c r="A33" s="18" t="s">
        <v>645</v>
      </c>
      <c r="B33" s="133" t="s">
        <v>646</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2">
      <c r="A34" s="18" t="s">
        <v>647</v>
      </c>
      <c r="B34" s="133" t="s">
        <v>648</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2">
      <c r="A35" s="18" t="s">
        <v>649</v>
      </c>
      <c r="B35" s="133" t="s">
        <v>650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2">
      <c r="A36" s="18" t="s">
        <v>651</v>
      </c>
      <c r="B36" s="133" t="s">
        <v>652</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2">
      <c r="A37" s="18" t="s">
        <v>653</v>
      </c>
      <c r="B37" s="133" t="s">
        <v>654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2">
      <c r="A38" s="18" t="s">
        <v>655</v>
      </c>
      <c r="B38" s="133" t="s">
        <v>656</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2">
      <c r="A39" s="18" t="s">
        <v>657</v>
      </c>
      <c r="B39" s="133" t="s">
        <v>658</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2">
      <c r="A40" s="18" t="s">
        <v>659</v>
      </c>
      <c r="B40" s="133" t="s">
        <v>660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2">
      <c r="A41" s="18" t="s">
        <v>662</v>
      </c>
      <c r="B41" s="133" t="s">
        <v>663</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2">
      <c r="A42" s="18" t="s">
        <v>664</v>
      </c>
      <c r="B42" s="133" t="s">
        <v>665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2">
      <c r="A43" s="18" t="s">
        <v>666</v>
      </c>
      <c r="B43" s="133" t="s">
        <v>667</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2">
      <c r="A44" s="18" t="s">
        <v>668</v>
      </c>
      <c r="B44" s="133" t="s">
        <v>669</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2">
      <c r="A45" s="18" t="s">
        <v>670</v>
      </c>
      <c r="B45" s="133" t="s">
        <v>671</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2">
      <c r="A46" s="18" t="s">
        <v>672</v>
      </c>
      <c r="B46" s="133" t="s">
        <v>673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2">
      <c r="A47" s="18" t="s">
        <v>674</v>
      </c>
      <c r="B47" s="133" t="s">
        <v>675</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2">
      <c r="A48" s="18" t="s">
        <v>676</v>
      </c>
      <c r="B48" s="133" t="s">
        <v>677</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2">
      <c r="A49" s="18" t="s">
        <v>678</v>
      </c>
      <c r="B49" s="133" t="s">
        <v>679</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2">
      <c r="A50" s="18" t="s">
        <v>680</v>
      </c>
      <c r="B50" s="133" t="s">
        <v>681</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2">
      <c r="A51" s="18" t="s">
        <v>682</v>
      </c>
      <c r="B51" s="133" t="s">
        <v>683</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2">
      <c r="A52" s="18" t="s">
        <v>684</v>
      </c>
      <c r="B52" s="133" t="s">
        <v>685</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2">
      <c r="A53" s="18" t="s">
        <v>686</v>
      </c>
      <c r="B53" s="133" t="s">
        <v>687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2">
      <c r="A54" s="18" t="s">
        <v>688</v>
      </c>
      <c r="B54" s="133" t="s">
        <v>689</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2">
      <c r="A55" s="18" t="s">
        <v>690</v>
      </c>
      <c r="B55" s="133" t="s">
        <v>691</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2">
      <c r="A56" s="18" t="s">
        <v>692</v>
      </c>
      <c r="B56" s="133" t="s">
        <v>693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2">
      <c r="A57" s="18" t="s">
        <v>694</v>
      </c>
      <c r="B57" s="133" t="s">
        <v>695</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2">
      <c r="A58" s="18" t="s">
        <v>696</v>
      </c>
      <c r="B58" s="133" t="s">
        <v>697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2">
      <c r="A59" s="18" t="s">
        <v>698</v>
      </c>
      <c r="B59" s="133" t="s">
        <v>699</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2">
      <c r="A60" s="18" t="s">
        <v>700</v>
      </c>
      <c r="B60" s="133" t="s">
        <v>701</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2">
      <c r="A61" s="18" t="s">
        <v>702</v>
      </c>
      <c r="B61" s="133" t="s">
        <v>703</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row r="62" spans="1:42" x14ac:dyDescent="0.2">
      <c r="A62" s="18" t="s">
        <v>704</v>
      </c>
      <c r="B62" s="133" t="s">
        <v>705</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row>
    <row r="63" spans="1:42" x14ac:dyDescent="0.2">
      <c r="A63" s="18" t="s">
        <v>706</v>
      </c>
      <c r="B63" s="133" t="s">
        <v>707</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row>
    <row r="64" spans="1:42" x14ac:dyDescent="0.2">
      <c r="A64" s="18" t="s">
        <v>708</v>
      </c>
      <c r="B64" s="133" t="s">
        <v>709</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row>
    <row r="65" spans="1:42" x14ac:dyDescent="0.2">
      <c r="A65" s="18" t="s">
        <v>711</v>
      </c>
      <c r="B65" s="133" t="s">
        <v>712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row>
    <row r="66" spans="1:42" x14ac:dyDescent="0.2">
      <c r="A66" s="18" t="s">
        <v>714</v>
      </c>
      <c r="B66" s="133" t="s">
        <v>715</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row>
    <row r="67" spans="1:42" x14ac:dyDescent="0.2">
      <c r="A67" s="18" t="s">
        <v>716</v>
      </c>
      <c r="B67" s="133" t="s">
        <v>717</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row>
    <row r="68" spans="1:42" x14ac:dyDescent="0.2">
      <c r="A68" s="18" t="s">
        <v>718</v>
      </c>
      <c r="B68" s="133" t="s">
        <v>719</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row>
    <row r="69" spans="1:42" x14ac:dyDescent="0.2">
      <c r="A69" s="18" t="s">
        <v>720</v>
      </c>
      <c r="B69" s="133" t="s">
        <v>721</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row>
    <row r="70" spans="1:42" x14ac:dyDescent="0.2">
      <c r="A70" s="18" t="s">
        <v>722</v>
      </c>
      <c r="B70" s="133" t="s">
        <v>723</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row>
    <row r="71" spans="1:42" x14ac:dyDescent="0.2">
      <c r="A71" s="18" t="s">
        <v>724</v>
      </c>
      <c r="B71" s="133" t="s">
        <v>725</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row>
    <row r="72" spans="1:42" x14ac:dyDescent="0.2">
      <c r="A72" s="18" t="s">
        <v>726</v>
      </c>
      <c r="B72" s="133" t="s">
        <v>727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row>
    <row r="73" spans="1:42" x14ac:dyDescent="0.2">
      <c r="A73" s="18" t="s">
        <v>728</v>
      </c>
      <c r="B73" s="133" t="s">
        <v>729</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row>
    <row r="74" spans="1:42" x14ac:dyDescent="0.2">
      <c r="A74" s="18" t="s">
        <v>730</v>
      </c>
      <c r="B74" s="133" t="s">
        <v>731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row>
    <row r="75" spans="1:42" x14ac:dyDescent="0.2">
      <c r="A75" s="18" t="s">
        <v>732</v>
      </c>
      <c r="B75" s="133" t="s">
        <v>733</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row>
    <row r="76" spans="1:42" x14ac:dyDescent="0.2">
      <c r="A76" s="18" t="s">
        <v>735</v>
      </c>
      <c r="B76" s="133" t="s">
        <v>736</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row>
    <row r="77" spans="1:42" x14ac:dyDescent="0.2">
      <c r="A77" s="18" t="s">
        <v>737</v>
      </c>
      <c r="B77" s="133" t="s">
        <v>738</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row>
    <row r="78" spans="1:42" x14ac:dyDescent="0.2">
      <c r="A78" s="18" t="s">
        <v>739</v>
      </c>
      <c r="B78" s="133" t="s">
        <v>740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row>
    <row r="79" spans="1:42" x14ac:dyDescent="0.2">
      <c r="A79" s="18" t="s">
        <v>741</v>
      </c>
      <c r="B79" s="133" t="s">
        <v>742</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row>
    <row r="80" spans="1:42" x14ac:dyDescent="0.2">
      <c r="A80" s="18" t="s">
        <v>743</v>
      </c>
      <c r="B80" s="133" t="s">
        <v>744</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row>
    <row r="81" spans="1:42" x14ac:dyDescent="0.2">
      <c r="A81" s="18" t="s">
        <v>746</v>
      </c>
      <c r="B81" s="133" t="s">
        <v>747</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row>
    <row r="82" spans="1:42" x14ac:dyDescent="0.2">
      <c r="A82" s="18" t="s">
        <v>748</v>
      </c>
      <c r="B82" s="133" t="s">
        <v>749</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row>
    <row r="83" spans="1:42" x14ac:dyDescent="0.2">
      <c r="A83" s="18" t="s">
        <v>750</v>
      </c>
      <c r="B83" s="133" t="s">
        <v>751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row>
    <row r="84" spans="1:42" x14ac:dyDescent="0.2">
      <c r="A84" s="18" t="s">
        <v>752</v>
      </c>
      <c r="B84" s="133" t="s">
        <v>753</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row>
    <row r="85" spans="1:42" x14ac:dyDescent="0.2">
      <c r="A85" s="18" t="s">
        <v>754</v>
      </c>
      <c r="B85" s="133" t="s">
        <v>755</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row>
    <row r="86" spans="1:42" x14ac:dyDescent="0.2">
      <c r="A86" s="18" t="s">
        <v>757</v>
      </c>
      <c r="B86" s="133" t="s">
        <v>758</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row>
    <row r="87" spans="1:42" x14ac:dyDescent="0.2">
      <c r="A87" s="18" t="s">
        <v>759</v>
      </c>
      <c r="B87" s="133" t="s">
        <v>760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row>
    <row r="88" spans="1:42" x14ac:dyDescent="0.2">
      <c r="A88" s="18" t="s">
        <v>761</v>
      </c>
      <c r="B88" s="133" t="s">
        <v>762</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row>
    <row r="89" spans="1:42" x14ac:dyDescent="0.2">
      <c r="A89" s="18" t="s">
        <v>763</v>
      </c>
      <c r="B89" s="133" t="s">
        <v>764</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row>
    <row r="90" spans="1:42" x14ac:dyDescent="0.2">
      <c r="A90" s="18" t="s">
        <v>765</v>
      </c>
      <c r="B90" s="133" t="s">
        <v>766</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row>
    <row r="91" spans="1:42" x14ac:dyDescent="0.2">
      <c r="A91" s="18" t="s">
        <v>767</v>
      </c>
      <c r="B91" s="133" t="s">
        <v>768</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row>
    <row r="92" spans="1:42" x14ac:dyDescent="0.2">
      <c r="A92" s="18" t="s">
        <v>769</v>
      </c>
      <c r="B92" s="133" t="s">
        <v>770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row>
    <row r="93" spans="1:42" x14ac:dyDescent="0.2">
      <c r="A93" s="18" t="s">
        <v>771</v>
      </c>
      <c r="B93" s="133" t="s">
        <v>772</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row>
    <row r="94" spans="1:42" x14ac:dyDescent="0.2">
      <c r="A94" s="18" t="s">
        <v>773</v>
      </c>
      <c r="B94" s="133" t="s">
        <v>774</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row>
    <row r="95" spans="1:42" x14ac:dyDescent="0.2">
      <c r="A95" s="18" t="s">
        <v>775</v>
      </c>
      <c r="B95" s="133" t="s">
        <v>776</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row>
    <row r="96" spans="1:42" x14ac:dyDescent="0.2">
      <c r="A96" s="18" t="s">
        <v>777</v>
      </c>
      <c r="B96" s="133" t="s">
        <v>778</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row>
    <row r="97" spans="1:42" x14ac:dyDescent="0.2">
      <c r="A97" s="18" t="s">
        <v>779</v>
      </c>
      <c r="B97" s="133" t="s">
        <v>780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row>
    <row r="98" spans="1:42" x14ac:dyDescent="0.2">
      <c r="A98" s="18" t="s">
        <v>781</v>
      </c>
      <c r="B98" s="133" t="s">
        <v>782</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row>
    <row r="99" spans="1:42" x14ac:dyDescent="0.2">
      <c r="A99" s="18" t="s">
        <v>783</v>
      </c>
      <c r="B99" s="133" t="s">
        <v>784</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row>
    <row r="100" spans="1:42" x14ac:dyDescent="0.2">
      <c r="A100" s="18" t="s">
        <v>785</v>
      </c>
      <c r="B100" s="133" t="s">
        <v>786</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row>
    <row r="101" spans="1:42" x14ac:dyDescent="0.2">
      <c r="A101" s="18" t="s">
        <v>787</v>
      </c>
      <c r="B101" s="133" t="s">
        <v>788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row>
    <row r="102" spans="1:42" x14ac:dyDescent="0.2">
      <c r="A102" s="18" t="s">
        <v>789</v>
      </c>
      <c r="B102" s="133" t="s">
        <v>790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row>
    <row r="103" spans="1:42" x14ac:dyDescent="0.2">
      <c r="A103" s="18" t="s">
        <v>791</v>
      </c>
      <c r="B103" s="133" t="s">
        <v>792</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row>
    <row r="104" spans="1:42" x14ac:dyDescent="0.2">
      <c r="A104" s="18" t="s">
        <v>793</v>
      </c>
      <c r="B104" s="133" t="s">
        <v>794</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row>
    <row r="105" spans="1:42" x14ac:dyDescent="0.2">
      <c r="A105" s="18" t="s">
        <v>795</v>
      </c>
      <c r="B105" s="133" t="s">
        <v>796</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row>
    <row r="106" spans="1:42" x14ac:dyDescent="0.2">
      <c r="A106" s="18" t="s">
        <v>797</v>
      </c>
      <c r="B106" s="133" t="s">
        <v>798</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row>
    <row r="107" spans="1:42" x14ac:dyDescent="0.2">
      <c r="A107" s="18" t="s">
        <v>799</v>
      </c>
      <c r="B107" s="133" t="s">
        <v>800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row>
    <row r="108" spans="1:42" x14ac:dyDescent="0.2">
      <c r="A108" s="18" t="s">
        <v>801</v>
      </c>
      <c r="B108" s="133" t="s">
        <v>802</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row>
    <row r="109" spans="1:42" x14ac:dyDescent="0.2">
      <c r="A109" s="18" t="s">
        <v>803</v>
      </c>
      <c r="B109" s="133" t="s">
        <v>804</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row>
    <row r="110" spans="1:42" x14ac:dyDescent="0.2">
      <c r="A110" s="18" t="s">
        <v>805</v>
      </c>
      <c r="B110" s="133" t="s">
        <v>806</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row>
    <row r="111" spans="1:42" x14ac:dyDescent="0.2">
      <c r="A111" s="18" t="s">
        <v>807</v>
      </c>
      <c r="B111" s="133" t="s">
        <v>808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row>
    <row r="112" spans="1:42" x14ac:dyDescent="0.2">
      <c r="A112" s="18" t="s">
        <v>809</v>
      </c>
      <c r="B112" s="133" t="s">
        <v>810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row>
    <row r="113" spans="1:42" x14ac:dyDescent="0.2">
      <c r="A113" s="18" t="s">
        <v>811</v>
      </c>
      <c r="B113" s="133" t="s">
        <v>812</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row>
    <row r="114" spans="1:42" x14ac:dyDescent="0.2">
      <c r="A114" s="18" t="s">
        <v>813</v>
      </c>
      <c r="B114" s="133" t="s">
        <v>814</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row>
    <row r="115" spans="1:42" x14ac:dyDescent="0.2">
      <c r="A115" s="18" t="s">
        <v>815</v>
      </c>
      <c r="B115" s="133" t="s">
        <v>816</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row>
    <row r="116" spans="1:42" x14ac:dyDescent="0.2">
      <c r="A116" s="18" t="s">
        <v>817</v>
      </c>
      <c r="B116" s="133" t="s">
        <v>818</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row>
    <row r="117" spans="1:42" x14ac:dyDescent="0.2">
      <c r="A117" s="18" t="s">
        <v>819</v>
      </c>
      <c r="B117" s="133" t="s">
        <v>820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row>
    <row r="118" spans="1:42" x14ac:dyDescent="0.2">
      <c r="A118" s="18" t="s">
        <v>821</v>
      </c>
      <c r="B118" s="133" t="s">
        <v>822</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row>
    <row r="119" spans="1:42" x14ac:dyDescent="0.2">
      <c r="A119" s="18" t="s">
        <v>823</v>
      </c>
      <c r="B119" s="133" t="s">
        <v>824</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row>
    <row r="120" spans="1:42" x14ac:dyDescent="0.2">
      <c r="A120" s="18" t="s">
        <v>825</v>
      </c>
      <c r="B120" s="133" t="s">
        <v>826</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row>
    <row r="121" spans="1:42" x14ac:dyDescent="0.2">
      <c r="A121" s="18" t="s">
        <v>827</v>
      </c>
      <c r="B121" s="133" t="s">
        <v>828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row>
    <row r="122" spans="1:42" x14ac:dyDescent="0.2">
      <c r="A122" s="18" t="s">
        <v>829</v>
      </c>
      <c r="B122" s="133" t="s">
        <v>830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row>
    <row r="123" spans="1:42" x14ac:dyDescent="0.2">
      <c r="A123" s="18" t="s">
        <v>831</v>
      </c>
      <c r="B123" s="133" t="s">
        <v>832</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row>
    <row r="124" spans="1:42" x14ac:dyDescent="0.2">
      <c r="A124" s="18" t="s">
        <v>833</v>
      </c>
      <c r="B124" s="133" t="s">
        <v>834</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row>
    <row r="125" spans="1:42" x14ac:dyDescent="0.2">
      <c r="A125" s="18" t="s">
        <v>835</v>
      </c>
      <c r="B125" s="133" t="s">
        <v>836</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row>
    <row r="126" spans="1:42" x14ac:dyDescent="0.2">
      <c r="A126" s="18" t="s">
        <v>837</v>
      </c>
      <c r="B126" s="133" t="s">
        <v>838</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row>
    <row r="127" spans="1:42" x14ac:dyDescent="0.2">
      <c r="A127" s="18" t="s">
        <v>839</v>
      </c>
      <c r="B127" s="133" t="s">
        <v>840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row>
    <row r="128" spans="1:42" x14ac:dyDescent="0.2">
      <c r="A128" s="18" t="s">
        <v>841</v>
      </c>
      <c r="B128" s="133" t="s">
        <v>842</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row>
    <row r="129" spans="1:42" x14ac:dyDescent="0.2">
      <c r="A129" s="18" t="s">
        <v>843</v>
      </c>
      <c r="B129" s="133" t="s">
        <v>844</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row>
    <row r="130" spans="1:42" x14ac:dyDescent="0.2">
      <c r="A130" s="18" t="s">
        <v>845</v>
      </c>
      <c r="B130" s="133" t="s">
        <v>846</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row>
    <row r="131" spans="1:42" x14ac:dyDescent="0.2">
      <c r="A131" s="18" t="s">
        <v>847</v>
      </c>
      <c r="B131" s="133" t="s">
        <v>848</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row>
    <row r="132" spans="1:42" x14ac:dyDescent="0.2">
      <c r="A132" s="18" t="s">
        <v>849</v>
      </c>
      <c r="B132" s="133" t="s">
        <v>850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row>
    <row r="133" spans="1:42" x14ac:dyDescent="0.2">
      <c r="A133" s="18" t="s">
        <v>851</v>
      </c>
      <c r="B133" s="133" t="s">
        <v>852</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row>
    <row r="134" spans="1:42" x14ac:dyDescent="0.2">
      <c r="A134" s="18" t="s">
        <v>853</v>
      </c>
      <c r="B134" s="133" t="s">
        <v>854</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row>
    <row r="135" spans="1:42" x14ac:dyDescent="0.2">
      <c r="A135" s="18" t="s">
        <v>855</v>
      </c>
      <c r="B135" s="133" t="s">
        <v>856</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row>
    <row r="136" spans="1:42" x14ac:dyDescent="0.2">
      <c r="A136" s="18" t="s">
        <v>857</v>
      </c>
      <c r="B136" s="133" t="s">
        <v>858</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row>
    <row r="137" spans="1:42" x14ac:dyDescent="0.2">
      <c r="A137" s="18" t="s">
        <v>859</v>
      </c>
      <c r="B137" s="133" t="s">
        <v>860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row>
    <row r="138" spans="1:42" x14ac:dyDescent="0.2">
      <c r="A138" s="18" t="s">
        <v>861</v>
      </c>
      <c r="B138" s="133" t="s">
        <v>862</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row>
    <row r="139" spans="1:42" x14ac:dyDescent="0.2">
      <c r="A139" s="18" t="s">
        <v>863</v>
      </c>
      <c r="B139" s="133" t="s">
        <v>864</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row>
    <row r="140" spans="1:42" x14ac:dyDescent="0.2">
      <c r="A140" s="18" t="s">
        <v>865</v>
      </c>
      <c r="B140" s="133" t="s">
        <v>866</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row>
    <row r="141" spans="1:42" x14ac:dyDescent="0.2">
      <c r="A141" s="18" t="s">
        <v>867</v>
      </c>
      <c r="B141" s="133" t="s">
        <v>868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row>
    <row r="142" spans="1:42" x14ac:dyDescent="0.2">
      <c r="A142" s="18" t="s">
        <v>869</v>
      </c>
      <c r="B142" s="133" t="s">
        <v>870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row>
    <row r="143" spans="1:42" x14ac:dyDescent="0.2">
      <c r="A143" s="18" t="s">
        <v>871</v>
      </c>
      <c r="B143" s="133" t="s">
        <v>872</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row>
    <row r="144" spans="1:42" x14ac:dyDescent="0.2">
      <c r="A144" s="18" t="s">
        <v>873</v>
      </c>
      <c r="B144" s="133" t="s">
        <v>874</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row>
    <row r="145" spans="1:42" x14ac:dyDescent="0.2">
      <c r="A145" s="18" t="s">
        <v>875</v>
      </c>
      <c r="B145" s="133" t="s">
        <v>876</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row>
    <row r="146" spans="1:42" x14ac:dyDescent="0.2">
      <c r="A146" s="18" t="s">
        <v>877</v>
      </c>
      <c r="B146" s="133" t="s">
        <v>878</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row>
    <row r="147" spans="1:42" x14ac:dyDescent="0.2">
      <c r="A147" s="18" t="s">
        <v>880</v>
      </c>
      <c r="B147" s="133" t="s">
        <v>881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row>
    <row r="148" spans="1:42" x14ac:dyDescent="0.2">
      <c r="A148" s="18" t="s">
        <v>882</v>
      </c>
      <c r="B148" s="133" t="s">
        <v>883</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row>
    <row r="149" spans="1:42" x14ac:dyDescent="0.2">
      <c r="A149" s="18" t="s">
        <v>884</v>
      </c>
      <c r="B149" s="133" t="s">
        <v>885</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row>
    <row r="150" spans="1:42" x14ac:dyDescent="0.2">
      <c r="A150" s="18" t="s">
        <v>887</v>
      </c>
      <c r="B150" s="133" t="s">
        <v>888</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row>
    <row r="151" spans="1:42" x14ac:dyDescent="0.2">
      <c r="A151" s="18" t="s">
        <v>890</v>
      </c>
      <c r="B151" s="133" t="s">
        <v>891</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row>
    <row r="152" spans="1:42" x14ac:dyDescent="0.2">
      <c r="A152" s="18" t="s">
        <v>892</v>
      </c>
      <c r="B152" s="133" t="s">
        <v>893</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row>
    <row r="153" spans="1:42" x14ac:dyDescent="0.2">
      <c r="A153" s="18" t="s">
        <v>894</v>
      </c>
      <c r="B153" s="133" t="s">
        <v>895</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row>
    <row r="154" spans="1:42" x14ac:dyDescent="0.2">
      <c r="A154" s="18" t="s">
        <v>897</v>
      </c>
      <c r="B154" s="133" t="s">
        <v>898</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row>
    <row r="155" spans="1:42" x14ac:dyDescent="0.2">
      <c r="A155" s="18" t="s">
        <v>900</v>
      </c>
      <c r="B155" s="133" t="s">
        <v>901</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row>
    <row r="156" spans="1:42" x14ac:dyDescent="0.2">
      <c r="A156" s="18" t="s">
        <v>903</v>
      </c>
      <c r="B156" s="133" t="s">
        <v>904</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row>
    <row r="157" spans="1:42" x14ac:dyDescent="0.2">
      <c r="A157" s="18" t="s">
        <v>905</v>
      </c>
      <c r="B157" s="133" t="s">
        <v>906</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row>
    <row r="158" spans="1:42" x14ac:dyDescent="0.2">
      <c r="A158" s="18" t="s">
        <v>908</v>
      </c>
      <c r="B158" s="133" t="s">
        <v>909</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row>
    <row r="159" spans="1:42" x14ac:dyDescent="0.2">
      <c r="A159" s="18" t="s">
        <v>910</v>
      </c>
      <c r="B159" s="133" t="s">
        <v>911</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row>
    <row r="160" spans="1:42" x14ac:dyDescent="0.2">
      <c r="A160" s="18" t="s">
        <v>912</v>
      </c>
      <c r="B160" s="133" t="s">
        <v>913</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row>
    <row r="161" spans="1:42" x14ac:dyDescent="0.2">
      <c r="A161" s="18" t="s">
        <v>914</v>
      </c>
      <c r="B161" s="133" t="s">
        <v>915</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row>
    <row r="162" spans="1:42" x14ac:dyDescent="0.2">
      <c r="A162" s="18" t="s">
        <v>916</v>
      </c>
      <c r="B162" s="133" t="s">
        <v>917</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row>
    <row r="163" spans="1:42" x14ac:dyDescent="0.2">
      <c r="A163" s="18" t="s">
        <v>918</v>
      </c>
      <c r="B163" s="133" t="s">
        <v>919</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row>
    <row r="164" spans="1:42" x14ac:dyDescent="0.2">
      <c r="A164" s="18" t="s">
        <v>920</v>
      </c>
      <c r="B164" s="133" t="s">
        <v>921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row>
    <row r="165" spans="1:42" x14ac:dyDescent="0.2">
      <c r="A165" s="18" t="s">
        <v>922</v>
      </c>
      <c r="B165" s="133" t="s">
        <v>923</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row>
    <row r="166" spans="1:42" x14ac:dyDescent="0.2">
      <c r="A166" s="18" t="s">
        <v>924</v>
      </c>
      <c r="B166" s="133" t="s">
        <v>925</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row>
    <row r="167" spans="1:42" x14ac:dyDescent="0.2">
      <c r="A167" s="18" t="s">
        <v>926</v>
      </c>
      <c r="B167" s="133" t="s">
        <v>1264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row>
    <row r="168" spans="1:42" x14ac:dyDescent="0.2">
      <c r="A168" s="18" t="s">
        <v>927</v>
      </c>
      <c r="B168" s="133" t="s">
        <v>1265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row>
    <row r="169" spans="1:42" x14ac:dyDescent="0.2">
      <c r="A169" s="18" t="s">
        <v>928</v>
      </c>
      <c r="B169" s="133" t="s">
        <v>1266</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row>
    <row r="170" spans="1:42" x14ac:dyDescent="0.2">
      <c r="A170" s="18" t="s">
        <v>929</v>
      </c>
      <c r="B170" s="133" t="s">
        <v>1267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row>
    <row r="171" spans="1:42" x14ac:dyDescent="0.2">
      <c r="A171" s="18" t="s">
        <v>930</v>
      </c>
      <c r="B171" s="133" t="s">
        <v>1268</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row>
    <row r="172" spans="1:42" x14ac:dyDescent="0.2">
      <c r="A172" s="18" t="s">
        <v>931</v>
      </c>
      <c r="B172" s="133" t="s">
        <v>932</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row>
    <row r="173" spans="1:42" x14ac:dyDescent="0.2">
      <c r="A173" s="18" t="s">
        <v>934</v>
      </c>
      <c r="B173" s="133" t="s">
        <v>935</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row>
    <row r="174" spans="1:42" x14ac:dyDescent="0.2">
      <c r="A174" s="18" t="s">
        <v>937</v>
      </c>
      <c r="B174" s="133" t="s">
        <v>938</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row>
    <row r="175" spans="1:42" x14ac:dyDescent="0.2">
      <c r="A175" s="18" t="s">
        <v>939</v>
      </c>
      <c r="B175" s="133" t="s">
        <v>940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row>
    <row r="176" spans="1:42" x14ac:dyDescent="0.2">
      <c r="A176" s="18" t="s">
        <v>942</v>
      </c>
      <c r="B176" s="133" t="s">
        <v>943</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row>
    <row r="177" spans="1:42" x14ac:dyDescent="0.2">
      <c r="A177" s="18" t="s">
        <v>944</v>
      </c>
      <c r="B177" s="133" t="s">
        <v>1269</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row>
    <row r="178" spans="1:42" x14ac:dyDescent="0.2">
      <c r="A178" s="18" t="s">
        <v>945</v>
      </c>
      <c r="B178" s="133" t="s">
        <v>1270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row>
    <row r="179" spans="1:42" x14ac:dyDescent="0.2">
      <c r="A179" s="18" t="s">
        <v>946</v>
      </c>
      <c r="B179" s="133" t="s">
        <v>947</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row>
    <row r="180" spans="1:42" x14ac:dyDescent="0.2">
      <c r="A180" s="18" t="s">
        <v>949</v>
      </c>
      <c r="B180" s="133" t="s">
        <v>950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DCCC0-9CBE-4747-A8D4-AF124C8E7BD0}">
  <sheetPr codeName="Sheet13">
    <tabColor theme="7" tint="0.79998168889431442"/>
  </sheetPr>
  <dimension ref="A1:AP180"/>
  <sheetViews>
    <sheetView zoomScaleNormal="100" workbookViewId="0">
      <pane xSplit="2" topLeftCell="C1" activePane="topRight" state="frozen"/>
      <selection pane="topRight" activeCell="C1" sqref="C1:C1048576"/>
    </sheetView>
  </sheetViews>
  <sheetFormatPr baseColWidth="10" defaultColWidth="8.83203125" defaultRowHeight="15" x14ac:dyDescent="0.2"/>
  <cols>
    <col min="1" max="1" width="17.5" customWidth="1"/>
    <col min="2" max="2" width="32.83203125" customWidth="1"/>
    <col min="3" max="3" width="7.1640625" customWidth="1"/>
    <col min="4" max="36" width="7.5" customWidth="1"/>
  </cols>
  <sheetData>
    <row r="1" spans="1:42" x14ac:dyDescent="0.2">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row>
    <row r="2" spans="1:42" ht="17" thickBot="1" x14ac:dyDescent="0.25">
      <c r="A2" s="11" t="s">
        <v>69</v>
      </c>
      <c r="B2" s="11" t="s">
        <v>72</v>
      </c>
      <c r="C2" s="142">
        <v>2021</v>
      </c>
      <c r="D2" s="142">
        <v>2022</v>
      </c>
      <c r="E2" s="142">
        <v>2023</v>
      </c>
      <c r="F2" s="142">
        <v>2024</v>
      </c>
      <c r="G2" s="142">
        <v>2025</v>
      </c>
      <c r="H2" s="142">
        <v>2026</v>
      </c>
      <c r="I2" s="142">
        <v>2027</v>
      </c>
      <c r="J2" s="142">
        <v>2028</v>
      </c>
      <c r="K2" s="142">
        <v>2029</v>
      </c>
      <c r="L2" s="142">
        <v>2030</v>
      </c>
      <c r="M2" s="142">
        <v>2031</v>
      </c>
      <c r="N2" s="142">
        <v>2032</v>
      </c>
      <c r="O2" s="142">
        <v>2033</v>
      </c>
      <c r="P2" s="142">
        <v>2034</v>
      </c>
      <c r="Q2" s="142">
        <v>2035</v>
      </c>
      <c r="R2" s="142">
        <v>2036</v>
      </c>
      <c r="S2" s="142">
        <v>2037</v>
      </c>
      <c r="T2" s="142">
        <v>2038</v>
      </c>
      <c r="U2" s="142">
        <v>2039</v>
      </c>
      <c r="V2" s="142">
        <v>2040</v>
      </c>
      <c r="W2" s="142">
        <v>2041</v>
      </c>
      <c r="X2" s="142">
        <v>2042</v>
      </c>
      <c r="Y2" s="142">
        <v>2043</v>
      </c>
      <c r="Z2" s="142">
        <v>2044</v>
      </c>
      <c r="AA2" s="142">
        <v>2045</v>
      </c>
      <c r="AB2" s="142">
        <v>2046</v>
      </c>
      <c r="AC2" s="142">
        <v>2047</v>
      </c>
      <c r="AD2" s="142">
        <v>2048</v>
      </c>
      <c r="AE2" s="142">
        <v>2049</v>
      </c>
      <c r="AF2" s="142">
        <v>2050</v>
      </c>
      <c r="AG2" s="142">
        <v>2051</v>
      </c>
      <c r="AH2" s="142">
        <v>2052</v>
      </c>
      <c r="AI2" s="142">
        <v>2053</v>
      </c>
      <c r="AJ2" s="142">
        <v>2054</v>
      </c>
      <c r="AK2" s="142">
        <v>2055</v>
      </c>
      <c r="AL2" s="142">
        <v>2056</v>
      </c>
      <c r="AM2" s="142">
        <v>2057</v>
      </c>
      <c r="AN2" s="142">
        <v>2058</v>
      </c>
      <c r="AO2" s="142">
        <v>2059</v>
      </c>
      <c r="AP2" s="142">
        <v>2060</v>
      </c>
    </row>
    <row r="3" spans="1:42" x14ac:dyDescent="0.2">
      <c r="A3" s="18" t="s">
        <v>601</v>
      </c>
      <c r="B3" s="61" t="s">
        <v>1242</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row>
    <row r="4" spans="1:42" x14ac:dyDescent="0.2">
      <c r="A4" s="18" t="s">
        <v>602</v>
      </c>
      <c r="B4" s="61" t="s">
        <v>1243</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row>
    <row r="5" spans="1:42" x14ac:dyDescent="0.2">
      <c r="A5" s="18" t="s">
        <v>603</v>
      </c>
      <c r="B5" s="61" t="s">
        <v>1244</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row>
    <row r="6" spans="1:42" x14ac:dyDescent="0.2">
      <c r="A6" s="18" t="s">
        <v>604</v>
      </c>
      <c r="B6" s="61" t="s">
        <v>1245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row>
    <row r="7" spans="1:42" x14ac:dyDescent="0.2">
      <c r="A7" s="18" t="s">
        <v>606</v>
      </c>
      <c r="B7" s="61" t="s">
        <v>1246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row>
    <row r="8" spans="1:42" x14ac:dyDescent="0.2">
      <c r="A8" s="18" t="s">
        <v>608</v>
      </c>
      <c r="B8" s="61" t="s">
        <v>1247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row>
    <row r="9" spans="1:42" x14ac:dyDescent="0.2">
      <c r="A9" s="18" t="s">
        <v>610</v>
      </c>
      <c r="B9" s="61" t="s">
        <v>1248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row>
    <row r="10" spans="1:42" x14ac:dyDescent="0.2">
      <c r="A10" s="18" t="s">
        <v>611</v>
      </c>
      <c r="B10" s="111" t="s">
        <v>1249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row>
    <row r="11" spans="1:42" x14ac:dyDescent="0.2">
      <c r="A11" s="18" t="s">
        <v>614</v>
      </c>
      <c r="B11" s="111" t="s">
        <v>1250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row>
    <row r="12" spans="1:42" x14ac:dyDescent="0.2">
      <c r="A12" s="18" t="s">
        <v>615</v>
      </c>
      <c r="B12" s="111" t="s">
        <v>1251</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x14ac:dyDescent="0.2">
      <c r="A13" s="18" t="s">
        <v>616</v>
      </c>
      <c r="B13" s="111" t="s">
        <v>1252</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row>
    <row r="14" spans="1:42" x14ac:dyDescent="0.2">
      <c r="A14" s="18" t="s">
        <v>617</v>
      </c>
      <c r="B14" s="111" t="s">
        <v>1253</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row>
    <row r="15" spans="1:42" x14ac:dyDescent="0.2">
      <c r="A15" s="18" t="s">
        <v>618</v>
      </c>
      <c r="B15" s="111" t="s">
        <v>1254</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row>
    <row r="16" spans="1:42" x14ac:dyDescent="0.2">
      <c r="A16" s="18" t="s">
        <v>619</v>
      </c>
      <c r="B16" s="111" t="s">
        <v>1288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row>
    <row r="17" spans="1:42" x14ac:dyDescent="0.2">
      <c r="A17" s="18" t="s">
        <v>621</v>
      </c>
      <c r="B17" s="111" t="s">
        <v>1289</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x14ac:dyDescent="0.2">
      <c r="A18" s="18" t="s">
        <v>622</v>
      </c>
      <c r="B18" s="111" t="s">
        <v>1290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x14ac:dyDescent="0.2">
      <c r="A19" s="18" t="s">
        <v>623</v>
      </c>
      <c r="B19" s="111" t="s">
        <v>1255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x14ac:dyDescent="0.2">
      <c r="A20" s="18" t="s">
        <v>624</v>
      </c>
      <c r="B20" s="111" t="s">
        <v>1256</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x14ac:dyDescent="0.2">
      <c r="A21" s="18" t="s">
        <v>625</v>
      </c>
      <c r="B21" s="111" t="s">
        <v>1257</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x14ac:dyDescent="0.2">
      <c r="A22" s="18" t="s">
        <v>626</v>
      </c>
      <c r="B22" s="111" t="s">
        <v>1258</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row>
    <row r="23" spans="1:42" x14ac:dyDescent="0.2">
      <c r="A23" s="18" t="s">
        <v>627</v>
      </c>
      <c r="B23" s="111" t="s">
        <v>1259</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row>
    <row r="24" spans="1:42" x14ac:dyDescent="0.2">
      <c r="A24" s="18" t="s">
        <v>628</v>
      </c>
      <c r="B24" s="111" t="s">
        <v>1260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row>
    <row r="25" spans="1:42" x14ac:dyDescent="0.2">
      <c r="A25" s="18" t="s">
        <v>629</v>
      </c>
      <c r="B25" s="111" t="s">
        <v>1261</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row>
    <row r="26" spans="1:42" x14ac:dyDescent="0.2">
      <c r="A26" s="18" t="s">
        <v>630</v>
      </c>
      <c r="B26" s="111" t="s">
        <v>1262</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row>
    <row r="27" spans="1:42" ht="16" thickBot="1" x14ac:dyDescent="0.25">
      <c r="A27" s="18" t="s">
        <v>631</v>
      </c>
      <c r="B27" s="112" t="s">
        <v>1263</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row>
    <row r="28" spans="1:42" x14ac:dyDescent="0.2">
      <c r="A28" s="18" t="s">
        <v>632</v>
      </c>
      <c r="B28" s="133" t="s">
        <v>633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row>
    <row r="29" spans="1:42" x14ac:dyDescent="0.2">
      <c r="A29" s="18" t="s">
        <v>635</v>
      </c>
      <c r="B29" s="133" t="s">
        <v>636</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row>
    <row r="30" spans="1:42" x14ac:dyDescent="0.2">
      <c r="A30" s="18" t="s">
        <v>638</v>
      </c>
      <c r="B30" s="133" t="s">
        <v>639</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row>
    <row r="31" spans="1:42" x14ac:dyDescent="0.2">
      <c r="A31" s="18" t="s">
        <v>641</v>
      </c>
      <c r="B31" s="133" t="s">
        <v>642</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row>
    <row r="32" spans="1:42" x14ac:dyDescent="0.2">
      <c r="A32" s="18" t="s">
        <v>643</v>
      </c>
      <c r="B32" s="133" t="s">
        <v>644</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row>
    <row r="33" spans="1:42" x14ac:dyDescent="0.2">
      <c r="A33" s="18" t="s">
        <v>645</v>
      </c>
      <c r="B33" s="133" t="s">
        <v>646</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row>
    <row r="34" spans="1:42" x14ac:dyDescent="0.2">
      <c r="A34" s="18" t="s">
        <v>647</v>
      </c>
      <c r="B34" s="133" t="s">
        <v>648</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row>
    <row r="35" spans="1:42" x14ac:dyDescent="0.2">
      <c r="A35" s="18" t="s">
        <v>649</v>
      </c>
      <c r="B35" s="133" t="s">
        <v>650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row>
    <row r="36" spans="1:42" x14ac:dyDescent="0.2">
      <c r="A36" s="18" t="s">
        <v>651</v>
      </c>
      <c r="B36" s="133" t="s">
        <v>652</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row>
    <row r="37" spans="1:42" x14ac:dyDescent="0.2">
      <c r="A37" s="18" t="s">
        <v>653</v>
      </c>
      <c r="B37" s="133" t="s">
        <v>654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row>
    <row r="38" spans="1:42" x14ac:dyDescent="0.2">
      <c r="A38" s="18" t="s">
        <v>655</v>
      </c>
      <c r="B38" s="133" t="s">
        <v>656</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row>
    <row r="39" spans="1:42" x14ac:dyDescent="0.2">
      <c r="A39" s="18" t="s">
        <v>657</v>
      </c>
      <c r="B39" s="133" t="s">
        <v>658</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row>
    <row r="40" spans="1:42" x14ac:dyDescent="0.2">
      <c r="A40" s="18" t="s">
        <v>659</v>
      </c>
      <c r="B40" s="133" t="s">
        <v>660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row>
    <row r="41" spans="1:42" x14ac:dyDescent="0.2">
      <c r="A41" s="18" t="s">
        <v>662</v>
      </c>
      <c r="B41" s="133" t="s">
        <v>663</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row>
    <row r="42" spans="1:42" x14ac:dyDescent="0.2">
      <c r="A42" s="18" t="s">
        <v>664</v>
      </c>
      <c r="B42" s="133" t="s">
        <v>665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x14ac:dyDescent="0.2">
      <c r="A43" s="18" t="s">
        <v>666</v>
      </c>
      <c r="B43" s="133" t="s">
        <v>667</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row>
    <row r="44" spans="1:42" x14ac:dyDescent="0.2">
      <c r="A44" s="18" t="s">
        <v>668</v>
      </c>
      <c r="B44" s="133" t="s">
        <v>669</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row>
    <row r="45" spans="1:42" x14ac:dyDescent="0.2">
      <c r="A45" s="18" t="s">
        <v>670</v>
      </c>
      <c r="B45" s="133" t="s">
        <v>671</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row>
    <row r="46" spans="1:42" x14ac:dyDescent="0.2">
      <c r="A46" s="18" t="s">
        <v>672</v>
      </c>
      <c r="B46" s="133" t="s">
        <v>673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row>
    <row r="47" spans="1:42" x14ac:dyDescent="0.2">
      <c r="A47" s="18" t="s">
        <v>674</v>
      </c>
      <c r="B47" s="133" t="s">
        <v>675</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row>
    <row r="48" spans="1:42" x14ac:dyDescent="0.2">
      <c r="A48" s="18" t="s">
        <v>676</v>
      </c>
      <c r="B48" s="133" t="s">
        <v>677</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row>
    <row r="49" spans="1:42" x14ac:dyDescent="0.2">
      <c r="A49" s="18" t="s">
        <v>678</v>
      </c>
      <c r="B49" s="133" t="s">
        <v>679</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row>
    <row r="50" spans="1:42" x14ac:dyDescent="0.2">
      <c r="A50" s="18" t="s">
        <v>680</v>
      </c>
      <c r="B50" s="133" t="s">
        <v>681</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row>
    <row r="51" spans="1:42" x14ac:dyDescent="0.2">
      <c r="A51" s="18" t="s">
        <v>682</v>
      </c>
      <c r="B51" s="133" t="s">
        <v>683</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row>
    <row r="52" spans="1:42" x14ac:dyDescent="0.2">
      <c r="A52" s="18" t="s">
        <v>684</v>
      </c>
      <c r="B52" s="133" t="s">
        <v>685</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row>
    <row r="53" spans="1:42" x14ac:dyDescent="0.2">
      <c r="A53" s="18" t="s">
        <v>686</v>
      </c>
      <c r="B53" s="133" t="s">
        <v>687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row>
    <row r="54" spans="1:42" x14ac:dyDescent="0.2">
      <c r="A54" s="18" t="s">
        <v>688</v>
      </c>
      <c r="B54" s="133" t="s">
        <v>689</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row>
    <row r="55" spans="1:42" x14ac:dyDescent="0.2">
      <c r="A55" s="18" t="s">
        <v>690</v>
      </c>
      <c r="B55" s="133" t="s">
        <v>691</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row>
    <row r="56" spans="1:42" x14ac:dyDescent="0.2">
      <c r="A56" s="18" t="s">
        <v>692</v>
      </c>
      <c r="B56" s="133" t="s">
        <v>693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row>
    <row r="57" spans="1:42" x14ac:dyDescent="0.2">
      <c r="A57" s="18" t="s">
        <v>694</v>
      </c>
      <c r="B57" s="133" t="s">
        <v>695</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row>
    <row r="58" spans="1:42" x14ac:dyDescent="0.2">
      <c r="A58" s="18" t="s">
        <v>696</v>
      </c>
      <c r="B58" s="133" t="s">
        <v>697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row>
    <row r="59" spans="1:42" x14ac:dyDescent="0.2">
      <c r="A59" s="18" t="s">
        <v>698</v>
      </c>
      <c r="B59" s="133" t="s">
        <v>699</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row>
    <row r="60" spans="1:42" x14ac:dyDescent="0.2">
      <c r="A60" s="18" t="s">
        <v>700</v>
      </c>
      <c r="B60" s="133" t="s">
        <v>701</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row>
    <row r="61" spans="1:42" x14ac:dyDescent="0.2">
      <c r="A61" s="18" t="s">
        <v>702</v>
      </c>
      <c r="B61" s="133" t="s">
        <v>703</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row>
    <row r="62" spans="1:42" x14ac:dyDescent="0.2">
      <c r="A62" s="18" t="s">
        <v>704</v>
      </c>
      <c r="B62" s="133" t="s">
        <v>705</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row>
    <row r="63" spans="1:42" x14ac:dyDescent="0.2">
      <c r="A63" s="18" t="s">
        <v>706</v>
      </c>
      <c r="B63" s="133" t="s">
        <v>707</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row>
    <row r="64" spans="1:42" x14ac:dyDescent="0.2">
      <c r="A64" s="18" t="s">
        <v>708</v>
      </c>
      <c r="B64" s="133" t="s">
        <v>709</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row>
    <row r="65" spans="1:42" x14ac:dyDescent="0.2">
      <c r="A65" s="18" t="s">
        <v>711</v>
      </c>
      <c r="B65" s="133" t="s">
        <v>712</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row>
    <row r="66" spans="1:42" x14ac:dyDescent="0.2">
      <c r="A66" s="18" t="s">
        <v>714</v>
      </c>
      <c r="B66" s="133" t="s">
        <v>715</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row>
    <row r="67" spans="1:42" x14ac:dyDescent="0.2">
      <c r="A67" s="18" t="s">
        <v>716</v>
      </c>
      <c r="B67" s="133" t="s">
        <v>717</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row>
    <row r="68" spans="1:42" x14ac:dyDescent="0.2">
      <c r="A68" s="18" t="s">
        <v>718</v>
      </c>
      <c r="B68" s="133" t="s">
        <v>719</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row>
    <row r="69" spans="1:42" x14ac:dyDescent="0.2">
      <c r="A69" s="18" t="s">
        <v>720</v>
      </c>
      <c r="B69" s="133" t="s">
        <v>721</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row>
    <row r="70" spans="1:42" x14ac:dyDescent="0.2">
      <c r="A70" s="18" t="s">
        <v>722</v>
      </c>
      <c r="B70" s="133" t="s">
        <v>723</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row>
    <row r="71" spans="1:42" x14ac:dyDescent="0.2">
      <c r="A71" s="18" t="s">
        <v>724</v>
      </c>
      <c r="B71" s="133" t="s">
        <v>725</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row>
    <row r="72" spans="1:42" x14ac:dyDescent="0.2">
      <c r="A72" s="18" t="s">
        <v>726</v>
      </c>
      <c r="B72" s="133" t="s">
        <v>727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row>
    <row r="73" spans="1:42" x14ac:dyDescent="0.2">
      <c r="A73" s="18" t="s">
        <v>728</v>
      </c>
      <c r="B73" s="133" t="s">
        <v>729</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row>
    <row r="74" spans="1:42" x14ac:dyDescent="0.2">
      <c r="A74" s="18" t="s">
        <v>730</v>
      </c>
      <c r="B74" s="133" t="s">
        <v>731</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row>
    <row r="75" spans="1:42" x14ac:dyDescent="0.2">
      <c r="A75" s="18" t="s">
        <v>732</v>
      </c>
      <c r="B75" s="133" t="s">
        <v>733</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row>
    <row r="76" spans="1:42" x14ac:dyDescent="0.2">
      <c r="A76" s="18" t="s">
        <v>735</v>
      </c>
      <c r="B76" s="133" t="s">
        <v>736</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row>
    <row r="77" spans="1:42" x14ac:dyDescent="0.2">
      <c r="A77" s="18" t="s">
        <v>737</v>
      </c>
      <c r="B77" s="133" t="s">
        <v>738</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row>
    <row r="78" spans="1:42" x14ac:dyDescent="0.2">
      <c r="A78" s="18" t="s">
        <v>739</v>
      </c>
      <c r="B78" s="133" t="s">
        <v>740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row>
    <row r="79" spans="1:42" x14ac:dyDescent="0.2">
      <c r="A79" s="18" t="s">
        <v>741</v>
      </c>
      <c r="B79" s="133" t="s">
        <v>742</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row>
    <row r="80" spans="1:42" x14ac:dyDescent="0.2">
      <c r="A80" s="18" t="s">
        <v>743</v>
      </c>
      <c r="B80" s="133" t="s">
        <v>744</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row>
    <row r="81" spans="1:42" x14ac:dyDescent="0.2">
      <c r="A81" s="18" t="s">
        <v>746</v>
      </c>
      <c r="B81" s="133" t="s">
        <v>747</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row>
    <row r="82" spans="1:42" x14ac:dyDescent="0.2">
      <c r="A82" s="18" t="s">
        <v>748</v>
      </c>
      <c r="B82" s="133" t="s">
        <v>749</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row>
    <row r="83" spans="1:42" x14ac:dyDescent="0.2">
      <c r="A83" s="18" t="s">
        <v>750</v>
      </c>
      <c r="B83" s="133" t="s">
        <v>751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row>
    <row r="84" spans="1:42" x14ac:dyDescent="0.2">
      <c r="A84" s="18" t="s">
        <v>752</v>
      </c>
      <c r="B84" s="133" t="s">
        <v>753</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row>
    <row r="85" spans="1:42" x14ac:dyDescent="0.2">
      <c r="A85" s="18" t="s">
        <v>754</v>
      </c>
      <c r="B85" s="133" t="s">
        <v>755</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row>
    <row r="86" spans="1:42" x14ac:dyDescent="0.2">
      <c r="A86" s="18" t="s">
        <v>757</v>
      </c>
      <c r="B86" s="133" t="s">
        <v>758</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row>
    <row r="87" spans="1:42" x14ac:dyDescent="0.2">
      <c r="A87" s="18" t="s">
        <v>759</v>
      </c>
      <c r="B87" s="133" t="s">
        <v>760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row>
    <row r="88" spans="1:42" x14ac:dyDescent="0.2">
      <c r="A88" s="18" t="s">
        <v>761</v>
      </c>
      <c r="B88" s="133" t="s">
        <v>762</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row>
    <row r="89" spans="1:42" x14ac:dyDescent="0.2">
      <c r="A89" s="18" t="s">
        <v>763</v>
      </c>
      <c r="B89" s="133" t="s">
        <v>764</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row>
    <row r="90" spans="1:42" x14ac:dyDescent="0.2">
      <c r="A90" s="18" t="s">
        <v>765</v>
      </c>
      <c r="B90" s="133" t="s">
        <v>766</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row>
    <row r="91" spans="1:42" x14ac:dyDescent="0.2">
      <c r="A91" s="18" t="s">
        <v>767</v>
      </c>
      <c r="B91" s="133" t="s">
        <v>768</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row>
    <row r="92" spans="1:42" x14ac:dyDescent="0.2">
      <c r="A92" s="18" t="s">
        <v>769</v>
      </c>
      <c r="B92" s="133" t="s">
        <v>770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row>
    <row r="93" spans="1:42" x14ac:dyDescent="0.2">
      <c r="A93" s="18" t="s">
        <v>771</v>
      </c>
      <c r="B93" s="133" t="s">
        <v>772</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row>
    <row r="94" spans="1:42" x14ac:dyDescent="0.2">
      <c r="A94" s="18" t="s">
        <v>773</v>
      </c>
      <c r="B94" s="133" t="s">
        <v>774</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row>
    <row r="95" spans="1:42" x14ac:dyDescent="0.2">
      <c r="A95" s="18" t="s">
        <v>775</v>
      </c>
      <c r="B95" s="133" t="s">
        <v>776</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row>
    <row r="96" spans="1:42" x14ac:dyDescent="0.2">
      <c r="A96" s="18" t="s">
        <v>777</v>
      </c>
      <c r="B96" s="133" t="s">
        <v>778</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row>
    <row r="97" spans="1:42" x14ac:dyDescent="0.2">
      <c r="A97" s="18" t="s">
        <v>779</v>
      </c>
      <c r="B97" s="133" t="s">
        <v>780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row>
    <row r="98" spans="1:42" x14ac:dyDescent="0.2">
      <c r="A98" s="18" t="s">
        <v>781</v>
      </c>
      <c r="B98" s="133" t="s">
        <v>782</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row>
    <row r="99" spans="1:42" x14ac:dyDescent="0.2">
      <c r="A99" s="18" t="s">
        <v>783</v>
      </c>
      <c r="B99" s="133" t="s">
        <v>784</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row>
    <row r="100" spans="1:42" x14ac:dyDescent="0.2">
      <c r="A100" s="18" t="s">
        <v>785</v>
      </c>
      <c r="B100" s="133" t="s">
        <v>786</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row>
    <row r="101" spans="1:42" x14ac:dyDescent="0.2">
      <c r="A101" s="18" t="s">
        <v>787</v>
      </c>
      <c r="B101" s="133" t="s">
        <v>788</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row>
    <row r="102" spans="1:42" x14ac:dyDescent="0.2">
      <c r="A102" s="18" t="s">
        <v>789</v>
      </c>
      <c r="B102" s="133" t="s">
        <v>790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row>
    <row r="103" spans="1:42" x14ac:dyDescent="0.2">
      <c r="A103" s="18" t="s">
        <v>791</v>
      </c>
      <c r="B103" s="133" t="s">
        <v>792</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row>
    <row r="104" spans="1:42" x14ac:dyDescent="0.2">
      <c r="A104" s="18" t="s">
        <v>793</v>
      </c>
      <c r="B104" s="133" t="s">
        <v>794</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row>
    <row r="105" spans="1:42" x14ac:dyDescent="0.2">
      <c r="A105" s="18" t="s">
        <v>795</v>
      </c>
      <c r="B105" s="133" t="s">
        <v>796</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row>
    <row r="106" spans="1:42" x14ac:dyDescent="0.2">
      <c r="A106" s="18" t="s">
        <v>797</v>
      </c>
      <c r="B106" s="133" t="s">
        <v>798</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row>
    <row r="107" spans="1:42" x14ac:dyDescent="0.2">
      <c r="A107" s="18" t="s">
        <v>799</v>
      </c>
      <c r="B107" s="133" t="s">
        <v>800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row>
    <row r="108" spans="1:42" x14ac:dyDescent="0.2">
      <c r="A108" s="18" t="s">
        <v>801</v>
      </c>
      <c r="B108" s="133" t="s">
        <v>802</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row>
    <row r="109" spans="1:42" x14ac:dyDescent="0.2">
      <c r="A109" s="18" t="s">
        <v>803</v>
      </c>
      <c r="B109" s="133" t="s">
        <v>804</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row>
    <row r="110" spans="1:42" x14ac:dyDescent="0.2">
      <c r="A110" s="18" t="s">
        <v>805</v>
      </c>
      <c r="B110" s="133" t="s">
        <v>806</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row>
    <row r="111" spans="1:42" x14ac:dyDescent="0.2">
      <c r="A111" s="18" t="s">
        <v>807</v>
      </c>
      <c r="B111" s="133" t="s">
        <v>808</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row>
    <row r="112" spans="1:42" x14ac:dyDescent="0.2">
      <c r="A112" s="18" t="s">
        <v>809</v>
      </c>
      <c r="B112" s="133" t="s">
        <v>810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row>
    <row r="113" spans="1:42" x14ac:dyDescent="0.2">
      <c r="A113" s="18" t="s">
        <v>811</v>
      </c>
      <c r="B113" s="133" t="s">
        <v>812</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row>
    <row r="114" spans="1:42" x14ac:dyDescent="0.2">
      <c r="A114" s="18" t="s">
        <v>813</v>
      </c>
      <c r="B114" s="133" t="s">
        <v>814</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row>
    <row r="115" spans="1:42" x14ac:dyDescent="0.2">
      <c r="A115" s="18" t="s">
        <v>815</v>
      </c>
      <c r="B115" s="133" t="s">
        <v>816</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row>
    <row r="116" spans="1:42" x14ac:dyDescent="0.2">
      <c r="A116" s="18" t="s">
        <v>817</v>
      </c>
      <c r="B116" s="133" t="s">
        <v>818</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row>
    <row r="117" spans="1:42" x14ac:dyDescent="0.2">
      <c r="A117" s="18" t="s">
        <v>819</v>
      </c>
      <c r="B117" s="133" t="s">
        <v>820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row>
    <row r="118" spans="1:42" x14ac:dyDescent="0.2">
      <c r="A118" s="18" t="s">
        <v>821</v>
      </c>
      <c r="B118" s="133" t="s">
        <v>822</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row>
    <row r="119" spans="1:42" x14ac:dyDescent="0.2">
      <c r="A119" s="18" t="s">
        <v>823</v>
      </c>
      <c r="B119" s="133" t="s">
        <v>824</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row>
    <row r="120" spans="1:42" x14ac:dyDescent="0.2">
      <c r="A120" s="18" t="s">
        <v>825</v>
      </c>
      <c r="B120" s="133" t="s">
        <v>826</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row>
    <row r="121" spans="1:42" x14ac:dyDescent="0.2">
      <c r="A121" s="18" t="s">
        <v>827</v>
      </c>
      <c r="B121" s="133" t="s">
        <v>828</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row>
    <row r="122" spans="1:42" x14ac:dyDescent="0.2">
      <c r="A122" s="18" t="s">
        <v>829</v>
      </c>
      <c r="B122" s="133" t="s">
        <v>830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row>
    <row r="123" spans="1:42" x14ac:dyDescent="0.2">
      <c r="A123" s="18" t="s">
        <v>831</v>
      </c>
      <c r="B123" s="133" t="s">
        <v>832</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row>
    <row r="124" spans="1:42" x14ac:dyDescent="0.2">
      <c r="A124" s="18" t="s">
        <v>833</v>
      </c>
      <c r="B124" s="133" t="s">
        <v>834</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row>
    <row r="125" spans="1:42" x14ac:dyDescent="0.2">
      <c r="A125" s="18" t="s">
        <v>835</v>
      </c>
      <c r="B125" s="133" t="s">
        <v>836</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row>
    <row r="126" spans="1:42" x14ac:dyDescent="0.2">
      <c r="A126" s="18" t="s">
        <v>837</v>
      </c>
      <c r="B126" s="133" t="s">
        <v>838</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row>
    <row r="127" spans="1:42" x14ac:dyDescent="0.2">
      <c r="A127" s="18" t="s">
        <v>839</v>
      </c>
      <c r="B127" s="133" t="s">
        <v>840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row>
    <row r="128" spans="1:42" x14ac:dyDescent="0.2">
      <c r="A128" s="18" t="s">
        <v>841</v>
      </c>
      <c r="B128" s="133" t="s">
        <v>842</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row>
    <row r="129" spans="1:42" x14ac:dyDescent="0.2">
      <c r="A129" s="18" t="s">
        <v>843</v>
      </c>
      <c r="B129" s="133" t="s">
        <v>844</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row>
    <row r="130" spans="1:42" x14ac:dyDescent="0.2">
      <c r="A130" s="18" t="s">
        <v>845</v>
      </c>
      <c r="B130" s="133" t="s">
        <v>846</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row>
    <row r="131" spans="1:42" x14ac:dyDescent="0.2">
      <c r="A131" s="18" t="s">
        <v>847</v>
      </c>
      <c r="B131" s="133" t="s">
        <v>848</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row>
    <row r="132" spans="1:42" x14ac:dyDescent="0.2">
      <c r="A132" s="18" t="s">
        <v>849</v>
      </c>
      <c r="B132" s="133" t="s">
        <v>850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row>
    <row r="133" spans="1:42" x14ac:dyDescent="0.2">
      <c r="A133" s="18" t="s">
        <v>851</v>
      </c>
      <c r="B133" s="133" t="s">
        <v>852</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row>
    <row r="134" spans="1:42" x14ac:dyDescent="0.2">
      <c r="A134" s="18" t="s">
        <v>853</v>
      </c>
      <c r="B134" s="133" t="s">
        <v>854</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row>
    <row r="135" spans="1:42" x14ac:dyDescent="0.2">
      <c r="A135" s="18" t="s">
        <v>855</v>
      </c>
      <c r="B135" s="133" t="s">
        <v>856</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row>
    <row r="136" spans="1:42" x14ac:dyDescent="0.2">
      <c r="A136" s="18" t="s">
        <v>857</v>
      </c>
      <c r="B136" s="133" t="s">
        <v>858</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row>
    <row r="137" spans="1:42" x14ac:dyDescent="0.2">
      <c r="A137" s="18" t="s">
        <v>859</v>
      </c>
      <c r="B137" s="133" t="s">
        <v>860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row>
    <row r="138" spans="1:42" x14ac:dyDescent="0.2">
      <c r="A138" s="18" t="s">
        <v>861</v>
      </c>
      <c r="B138" s="133" t="s">
        <v>862</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row>
    <row r="139" spans="1:42" x14ac:dyDescent="0.2">
      <c r="A139" s="18" t="s">
        <v>863</v>
      </c>
      <c r="B139" s="133" t="s">
        <v>864</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row>
    <row r="140" spans="1:42" x14ac:dyDescent="0.2">
      <c r="A140" s="18" t="s">
        <v>865</v>
      </c>
      <c r="B140" s="133" t="s">
        <v>866</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row>
    <row r="141" spans="1:42" x14ac:dyDescent="0.2">
      <c r="A141" s="18" t="s">
        <v>867</v>
      </c>
      <c r="B141" s="133" t="s">
        <v>868</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row>
    <row r="142" spans="1:42" x14ac:dyDescent="0.2">
      <c r="A142" s="18" t="s">
        <v>869</v>
      </c>
      <c r="B142" s="133" t="s">
        <v>870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row>
    <row r="143" spans="1:42" x14ac:dyDescent="0.2">
      <c r="A143" s="18" t="s">
        <v>871</v>
      </c>
      <c r="B143" s="133" t="s">
        <v>872</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row>
    <row r="144" spans="1:42" x14ac:dyDescent="0.2">
      <c r="A144" s="18" t="s">
        <v>873</v>
      </c>
      <c r="B144" s="133" t="s">
        <v>874</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row>
    <row r="145" spans="1:42" x14ac:dyDescent="0.2">
      <c r="A145" s="18" t="s">
        <v>875</v>
      </c>
      <c r="B145" s="133" t="s">
        <v>876</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row>
    <row r="146" spans="1:42" x14ac:dyDescent="0.2">
      <c r="A146" s="18" t="s">
        <v>877</v>
      </c>
      <c r="B146" s="133" t="s">
        <v>878</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row>
    <row r="147" spans="1:42" x14ac:dyDescent="0.2">
      <c r="A147" s="18" t="s">
        <v>880</v>
      </c>
      <c r="B147" s="133" t="s">
        <v>881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row>
    <row r="148" spans="1:42" x14ac:dyDescent="0.2">
      <c r="A148" s="18" t="s">
        <v>882</v>
      </c>
      <c r="B148" s="133" t="s">
        <v>883</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row>
    <row r="149" spans="1:42" x14ac:dyDescent="0.2">
      <c r="A149" s="18" t="s">
        <v>884</v>
      </c>
      <c r="B149" s="133" t="s">
        <v>885</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row>
    <row r="150" spans="1:42" x14ac:dyDescent="0.2">
      <c r="A150" s="18" t="s">
        <v>887</v>
      </c>
      <c r="B150" s="133" t="s">
        <v>888</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row>
    <row r="151" spans="1:42" x14ac:dyDescent="0.2">
      <c r="A151" s="18" t="s">
        <v>890</v>
      </c>
      <c r="B151" s="133" t="s">
        <v>891</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row>
    <row r="152" spans="1:42" x14ac:dyDescent="0.2">
      <c r="A152" s="18" t="s">
        <v>892</v>
      </c>
      <c r="B152" s="133" t="s">
        <v>893</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row>
    <row r="153" spans="1:42" x14ac:dyDescent="0.2">
      <c r="A153" s="18" t="s">
        <v>894</v>
      </c>
      <c r="B153" s="133" t="s">
        <v>895</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row>
    <row r="154" spans="1:42" x14ac:dyDescent="0.2">
      <c r="A154" s="18" t="s">
        <v>897</v>
      </c>
      <c r="B154" s="133" t="s">
        <v>898</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row>
    <row r="155" spans="1:42" x14ac:dyDescent="0.2">
      <c r="A155" s="18" t="s">
        <v>900</v>
      </c>
      <c r="B155" s="133" t="s">
        <v>901</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row>
    <row r="156" spans="1:42" x14ac:dyDescent="0.2">
      <c r="A156" s="18" t="s">
        <v>903</v>
      </c>
      <c r="B156" s="133" t="s">
        <v>904</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row>
    <row r="157" spans="1:42" x14ac:dyDescent="0.2">
      <c r="A157" s="18" t="s">
        <v>905</v>
      </c>
      <c r="B157" s="133" t="s">
        <v>906</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row>
    <row r="158" spans="1:42" x14ac:dyDescent="0.2">
      <c r="A158" s="18" t="s">
        <v>908</v>
      </c>
      <c r="B158" s="133" t="s">
        <v>909</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row>
    <row r="159" spans="1:42" x14ac:dyDescent="0.2">
      <c r="A159" s="18" t="s">
        <v>910</v>
      </c>
      <c r="B159" s="133" t="s">
        <v>911</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row>
    <row r="160" spans="1:42" x14ac:dyDescent="0.2">
      <c r="A160" s="18" t="s">
        <v>912</v>
      </c>
      <c r="B160" s="133" t="s">
        <v>913</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row>
    <row r="161" spans="1:42" x14ac:dyDescent="0.2">
      <c r="A161" s="18" t="s">
        <v>914</v>
      </c>
      <c r="B161" s="133" t="s">
        <v>915</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row>
    <row r="162" spans="1:42" x14ac:dyDescent="0.2">
      <c r="A162" s="18" t="s">
        <v>916</v>
      </c>
      <c r="B162" s="133" t="s">
        <v>917</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row>
    <row r="163" spans="1:42" x14ac:dyDescent="0.2">
      <c r="A163" s="18" t="s">
        <v>918</v>
      </c>
      <c r="B163" s="133" t="s">
        <v>919</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row>
    <row r="164" spans="1:42" x14ac:dyDescent="0.2">
      <c r="A164" s="18" t="s">
        <v>920</v>
      </c>
      <c r="B164" s="133" t="s">
        <v>921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row>
    <row r="165" spans="1:42" x14ac:dyDescent="0.2">
      <c r="A165" s="18" t="s">
        <v>922</v>
      </c>
      <c r="B165" s="133" t="s">
        <v>923</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row>
    <row r="166" spans="1:42" x14ac:dyDescent="0.2">
      <c r="A166" s="18" t="s">
        <v>924</v>
      </c>
      <c r="B166" s="133" t="s">
        <v>925</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row>
    <row r="167" spans="1:42" x14ac:dyDescent="0.2">
      <c r="A167" s="18" t="s">
        <v>926</v>
      </c>
      <c r="B167" s="133" t="s">
        <v>1264</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row>
    <row r="168" spans="1:42" x14ac:dyDescent="0.2">
      <c r="A168" s="18" t="s">
        <v>927</v>
      </c>
      <c r="B168" s="133" t="s">
        <v>1265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row>
    <row r="169" spans="1:42" x14ac:dyDescent="0.2">
      <c r="A169" s="18" t="s">
        <v>928</v>
      </c>
      <c r="B169" s="133" t="s">
        <v>1266</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row>
    <row r="170" spans="1:42" x14ac:dyDescent="0.2">
      <c r="A170" s="18" t="s">
        <v>929</v>
      </c>
      <c r="B170" s="133" t="s">
        <v>1267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row>
    <row r="171" spans="1:42" x14ac:dyDescent="0.2">
      <c r="A171" s="18" t="s">
        <v>930</v>
      </c>
      <c r="B171" s="133" t="s">
        <v>1268</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row>
    <row r="172" spans="1:42" x14ac:dyDescent="0.2">
      <c r="A172" s="18" t="s">
        <v>931</v>
      </c>
      <c r="B172" s="133" t="s">
        <v>932</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row>
    <row r="173" spans="1:42" x14ac:dyDescent="0.2">
      <c r="A173" s="18" t="s">
        <v>934</v>
      </c>
      <c r="B173" s="133" t="s">
        <v>935</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row>
    <row r="174" spans="1:42" x14ac:dyDescent="0.2">
      <c r="A174" s="18" t="s">
        <v>937</v>
      </c>
      <c r="B174" s="133" t="s">
        <v>938</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row>
    <row r="175" spans="1:42" x14ac:dyDescent="0.2">
      <c r="A175" s="18" t="s">
        <v>939</v>
      </c>
      <c r="B175" s="133" t="s">
        <v>940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row>
    <row r="176" spans="1:42" x14ac:dyDescent="0.2">
      <c r="A176" s="18" t="s">
        <v>942</v>
      </c>
      <c r="B176" s="133" t="s">
        <v>943</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row>
    <row r="177" spans="1:42" x14ac:dyDescent="0.2">
      <c r="A177" s="18" t="s">
        <v>944</v>
      </c>
      <c r="B177" s="133" t="s">
        <v>1269</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row>
    <row r="178" spans="1:42" x14ac:dyDescent="0.2">
      <c r="A178" s="18" t="s">
        <v>945</v>
      </c>
      <c r="B178" s="133" t="s">
        <v>1270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row>
    <row r="179" spans="1:42" x14ac:dyDescent="0.2">
      <c r="A179" s="18" t="s">
        <v>946</v>
      </c>
      <c r="B179" s="133" t="s">
        <v>947</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row>
    <row r="180" spans="1:42" x14ac:dyDescent="0.2">
      <c r="A180" s="18" t="s">
        <v>949</v>
      </c>
      <c r="B180" s="133" t="s">
        <v>950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5955-9A79-2041-867E-56C46ADFB7CA}">
  <sheetPr codeName="Sheet14">
    <tabColor theme="5" tint="-0.249977111117893"/>
  </sheetPr>
  <dimension ref="A1"/>
  <sheetViews>
    <sheetView workbookViewId="0"/>
  </sheetViews>
  <sheetFormatPr baseColWidth="10" defaultColWidth="8.83203125" defaultRowHeight="15"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9525-A056-8E40-963A-63D0CC934DC8}">
  <sheetPr codeName="Sheet16">
    <tabColor theme="5" tint="0.79998168889431442"/>
  </sheetPr>
  <dimension ref="A1:D6"/>
  <sheetViews>
    <sheetView zoomScale="115" zoomScaleNormal="115" workbookViewId="0">
      <pane ySplit="1" topLeftCell="A2" activePane="bottomLeft" state="frozen"/>
      <selection activeCell="D63" sqref="D63"/>
      <selection pane="bottomLeft" activeCell="D45" sqref="D45"/>
    </sheetView>
  </sheetViews>
  <sheetFormatPr baseColWidth="10" defaultColWidth="8.83203125" defaultRowHeight="15" x14ac:dyDescent="0.2"/>
  <cols>
    <col min="1" max="1" width="43.33203125" customWidth="1"/>
    <col min="2" max="2" width="25.5" customWidth="1"/>
    <col min="3" max="3" width="54.6640625" customWidth="1"/>
    <col min="4" max="4" width="121" customWidth="1"/>
  </cols>
  <sheetData>
    <row r="1" spans="1:4" ht="18" thickBot="1" x14ac:dyDescent="0.25">
      <c r="A1" s="1" t="s">
        <v>384</v>
      </c>
      <c r="B1" s="1" t="s">
        <v>1169</v>
      </c>
      <c r="C1" s="1" t="s">
        <v>5</v>
      </c>
      <c r="D1" s="158" t="s">
        <v>6</v>
      </c>
    </row>
    <row r="2" spans="1:4" ht="16" thickTop="1" x14ac:dyDescent="0.2">
      <c r="A2" s="151" t="s">
        <v>1168</v>
      </c>
      <c r="B2" s="4" t="s">
        <v>79</v>
      </c>
      <c r="C2" s="155" t="b">
        <v>0</v>
      </c>
      <c r="D2" s="9" t="s">
        <v>1386</v>
      </c>
    </row>
    <row r="3" spans="1:4" x14ac:dyDescent="0.2">
      <c r="A3" s="151" t="s">
        <v>1178</v>
      </c>
      <c r="B3" s="59" t="b">
        <v>1</v>
      </c>
      <c r="C3" s="154">
        <v>6000</v>
      </c>
      <c r="D3" s="9" t="s">
        <v>1177</v>
      </c>
    </row>
    <row r="4" spans="1:4" x14ac:dyDescent="0.2">
      <c r="A4" s="151" t="s">
        <v>1176</v>
      </c>
      <c r="B4" s="59" t="b">
        <v>1</v>
      </c>
      <c r="C4" s="153" t="s">
        <v>1175</v>
      </c>
      <c r="D4" s="9" t="s">
        <v>1174</v>
      </c>
    </row>
    <row r="5" spans="1:4" x14ac:dyDescent="0.2">
      <c r="A5" s="151" t="s">
        <v>1173</v>
      </c>
      <c r="B5" s="59" t="b">
        <v>1</v>
      </c>
      <c r="C5" s="152">
        <v>1</v>
      </c>
      <c r="D5" s="9" t="s">
        <v>1172</v>
      </c>
    </row>
    <row r="6" spans="1:4" x14ac:dyDescent="0.2">
      <c r="A6" s="151" t="s">
        <v>1171</v>
      </c>
      <c r="B6" s="59" t="b">
        <v>1</v>
      </c>
      <c r="C6" s="150" t="b">
        <v>1</v>
      </c>
      <c r="D6" s="9" t="s">
        <v>1170</v>
      </c>
    </row>
  </sheetData>
  <conditionalFormatting sqref="B3:B6">
    <cfRule type="cellIs" dxfId="4" priority="1" operator="equal">
      <formula>TRUE</formula>
    </cfRule>
  </conditionalFormatting>
  <dataValidations count="1">
    <dataValidation type="list" allowBlank="1" showInputMessage="1" showErrorMessage="1" sqref="C2 B3:B6 C6" xr:uid="{CC594C42-4943-4025-92F3-9CE36C48B9D0}">
      <formula1>"True, False"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C593-84A5-8849-A4F1-D77976DBF682}">
  <sheetPr codeName="Sheet15">
    <tabColor theme="5" tint="0.79998168889431442"/>
  </sheetPr>
  <dimension ref="A1:F10"/>
  <sheetViews>
    <sheetView zoomScale="115" zoomScaleNormal="115" workbookViewId="0">
      <pane ySplit="1" topLeftCell="A2" activePane="bottomLeft" state="frozen"/>
      <selection activeCell="D63" sqref="D63"/>
      <selection pane="bottomLeft" activeCell="B20" sqref="B20"/>
    </sheetView>
  </sheetViews>
  <sheetFormatPr baseColWidth="10" defaultColWidth="8.83203125" defaultRowHeight="15" x14ac:dyDescent="0.2"/>
  <cols>
    <col min="1" max="1" width="43.33203125" customWidth="1"/>
    <col min="2" max="2" width="25.5" customWidth="1"/>
    <col min="3" max="3" width="54.6640625" customWidth="1"/>
    <col min="4" max="4" width="121" customWidth="1"/>
    <col min="5" max="5" width="9.1640625" customWidth="1"/>
  </cols>
  <sheetData>
    <row r="1" spans="1:6" ht="18" thickBot="1" x14ac:dyDescent="0.25">
      <c r="A1" s="1" t="s">
        <v>384</v>
      </c>
      <c r="B1" s="1" t="s">
        <v>1169</v>
      </c>
      <c r="C1" s="1" t="s">
        <v>5</v>
      </c>
      <c r="D1" s="158" t="s">
        <v>6</v>
      </c>
    </row>
    <row r="2" spans="1:6" ht="16" thickTop="1" x14ac:dyDescent="0.2">
      <c r="A2" s="4" t="s">
        <v>1168</v>
      </c>
      <c r="B2" s="4" t="s">
        <v>79</v>
      </c>
      <c r="C2" s="149" t="b">
        <v>0</v>
      </c>
      <c r="D2" s="7" t="s">
        <v>1381</v>
      </c>
    </row>
    <row r="3" spans="1:6" ht="16" x14ac:dyDescent="0.2">
      <c r="A3" s="5" t="s">
        <v>1167</v>
      </c>
      <c r="B3" s="59" t="b">
        <v>0</v>
      </c>
      <c r="C3" s="146">
        <v>1</v>
      </c>
      <c r="D3" s="6" t="s">
        <v>1166</v>
      </c>
      <c r="F3" s="148"/>
    </row>
    <row r="4" spans="1:6" x14ac:dyDescent="0.2">
      <c r="A4" s="5" t="s">
        <v>1165</v>
      </c>
      <c r="B4" s="59" t="b">
        <v>1</v>
      </c>
      <c r="C4" s="146">
        <v>1E-3</v>
      </c>
      <c r="D4" s="6" t="s">
        <v>1382</v>
      </c>
    </row>
    <row r="5" spans="1:6" x14ac:dyDescent="0.2">
      <c r="A5" s="5" t="s">
        <v>1164</v>
      </c>
      <c r="B5" s="59" t="b">
        <v>0</v>
      </c>
      <c r="C5" s="146">
        <v>2</v>
      </c>
      <c r="D5" s="6" t="s">
        <v>1163</v>
      </c>
    </row>
    <row r="6" spans="1:6" x14ac:dyDescent="0.2">
      <c r="A6" s="5" t="s">
        <v>1162</v>
      </c>
      <c r="B6" s="59" t="b">
        <v>1</v>
      </c>
      <c r="C6" s="146">
        <v>1</v>
      </c>
      <c r="D6" s="6" t="s">
        <v>1161</v>
      </c>
    </row>
    <row r="7" spans="1:6" x14ac:dyDescent="0.2">
      <c r="A7" s="5" t="s">
        <v>1160</v>
      </c>
      <c r="B7" s="59" t="b">
        <v>1</v>
      </c>
      <c r="C7" s="146">
        <v>86400</v>
      </c>
      <c r="D7" s="6" t="s">
        <v>1383</v>
      </c>
    </row>
    <row r="8" spans="1:6" x14ac:dyDescent="0.2">
      <c r="A8" s="5" t="s">
        <v>1159</v>
      </c>
      <c r="B8" s="59" t="b">
        <v>0</v>
      </c>
      <c r="C8" s="147">
        <v>9.9999999999999995E-7</v>
      </c>
      <c r="D8" s="6" t="s">
        <v>1158</v>
      </c>
    </row>
    <row r="9" spans="1:6" x14ac:dyDescent="0.2">
      <c r="A9" s="5" t="s">
        <v>1157</v>
      </c>
      <c r="B9" s="59" t="b">
        <v>1</v>
      </c>
      <c r="C9" s="146">
        <v>36</v>
      </c>
      <c r="D9" s="6" t="s">
        <v>1384</v>
      </c>
    </row>
    <row r="10" spans="1:6" x14ac:dyDescent="0.2">
      <c r="A10" s="5" t="s">
        <v>1156</v>
      </c>
      <c r="B10" s="59" t="b">
        <v>1</v>
      </c>
      <c r="C10" s="146">
        <v>4</v>
      </c>
      <c r="D10" s="6" t="s">
        <v>1385</v>
      </c>
    </row>
  </sheetData>
  <conditionalFormatting sqref="B3:B10">
    <cfRule type="cellIs" dxfId="3" priority="1" operator="equal">
      <formula>TRUE</formula>
    </cfRule>
  </conditionalFormatting>
  <dataValidations count="1">
    <dataValidation type="list" allowBlank="1" showInputMessage="1" showErrorMessage="1" sqref="C2 B3:B10" xr:uid="{4C8FB830-96D9-48E1-9525-16CBA470BAB0}">
      <formula1>"True, False"</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05A4-ECDA-9C46-AE2E-65A19571FE0D}">
  <sheetPr codeName="Sheet24">
    <tabColor theme="5" tint="0.79998168889431442"/>
  </sheetPr>
  <dimension ref="A1:D10"/>
  <sheetViews>
    <sheetView zoomScale="115" zoomScaleNormal="115" workbookViewId="0">
      <pane ySplit="1" topLeftCell="A2" activePane="bottomLeft" state="frozen"/>
      <selection activeCell="D63" sqref="D63"/>
      <selection pane="bottomLeft" activeCell="D22" sqref="D22"/>
    </sheetView>
  </sheetViews>
  <sheetFormatPr baseColWidth="10" defaultRowHeight="15" x14ac:dyDescent="0.2"/>
  <cols>
    <col min="1" max="1" width="30.1640625" customWidth="1"/>
    <col min="3" max="3" width="16.1640625" customWidth="1"/>
    <col min="4" max="4" width="113.33203125" customWidth="1"/>
  </cols>
  <sheetData>
    <row r="1" spans="1:4" ht="18" thickBot="1" x14ac:dyDescent="0.25">
      <c r="A1" s="1" t="s">
        <v>384</v>
      </c>
      <c r="B1" s="1" t="s">
        <v>1169</v>
      </c>
      <c r="C1" s="1" t="s">
        <v>5</v>
      </c>
      <c r="D1" s="158" t="s">
        <v>6</v>
      </c>
    </row>
    <row r="2" spans="1:4" ht="69" customHeight="1" thickTop="1" x14ac:dyDescent="0.2">
      <c r="A2" s="151" t="s">
        <v>1168</v>
      </c>
      <c r="B2" s="4" t="s">
        <v>79</v>
      </c>
      <c r="C2" s="155" t="b">
        <v>0</v>
      </c>
      <c r="D2" s="85" t="s">
        <v>1387</v>
      </c>
    </row>
    <row r="3" spans="1:4" x14ac:dyDescent="0.2">
      <c r="A3" s="151" t="s">
        <v>1196</v>
      </c>
      <c r="B3" s="59" t="b">
        <v>1</v>
      </c>
      <c r="C3" s="152">
        <v>1</v>
      </c>
      <c r="D3" s="9" t="s">
        <v>1197</v>
      </c>
    </row>
    <row r="4" spans="1:4" x14ac:dyDescent="0.2">
      <c r="A4" s="151" t="s">
        <v>1198</v>
      </c>
      <c r="B4" s="59" t="b">
        <v>1</v>
      </c>
      <c r="C4" s="154" t="b">
        <v>0</v>
      </c>
      <c r="D4" s="9" t="s">
        <v>1199</v>
      </c>
    </row>
    <row r="5" spans="1:4" x14ac:dyDescent="0.2">
      <c r="A5" s="151" t="s">
        <v>1200</v>
      </c>
      <c r="B5" s="59" t="b">
        <v>1</v>
      </c>
      <c r="C5" s="163">
        <v>1E-4</v>
      </c>
      <c r="D5" s="9" t="s">
        <v>1201</v>
      </c>
    </row>
    <row r="6" spans="1:4" x14ac:dyDescent="0.2">
      <c r="A6" s="151" t="s">
        <v>1202</v>
      </c>
      <c r="B6" s="59" t="b">
        <v>1</v>
      </c>
      <c r="C6" s="163">
        <v>1E-4</v>
      </c>
      <c r="D6" s="9" t="s">
        <v>1203</v>
      </c>
    </row>
    <row r="7" spans="1:4" x14ac:dyDescent="0.2">
      <c r="A7" s="151" t="s">
        <v>1204</v>
      </c>
      <c r="B7" s="59" t="b">
        <v>1</v>
      </c>
      <c r="C7" s="163">
        <v>1E-4</v>
      </c>
      <c r="D7" s="9" t="s">
        <v>1205</v>
      </c>
    </row>
    <row r="8" spans="1:4" x14ac:dyDescent="0.2">
      <c r="A8" s="151" t="s">
        <v>1206</v>
      </c>
      <c r="B8" s="59" t="b">
        <v>1</v>
      </c>
      <c r="C8" s="163">
        <v>1E-4</v>
      </c>
      <c r="D8" s="9" t="s">
        <v>1207</v>
      </c>
    </row>
    <row r="9" spans="1:4" x14ac:dyDescent="0.2">
      <c r="A9" s="151" t="s">
        <v>1208</v>
      </c>
      <c r="B9" s="59" t="b">
        <v>1</v>
      </c>
      <c r="C9" s="163">
        <v>1E-4</v>
      </c>
      <c r="D9" s="9" t="s">
        <v>1209</v>
      </c>
    </row>
    <row r="10" spans="1:4" x14ac:dyDescent="0.2">
      <c r="A10" s="151" t="s">
        <v>1210</v>
      </c>
      <c r="B10" s="59" t="b">
        <v>1</v>
      </c>
      <c r="C10" s="163">
        <v>1E-4</v>
      </c>
      <c r="D10" s="9" t="s">
        <v>1211</v>
      </c>
    </row>
  </sheetData>
  <conditionalFormatting sqref="B3:B10">
    <cfRule type="cellIs" dxfId="2" priority="1" operator="equal">
      <formula>TRUE</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C61A-8590-B443-A984-74649AB9F19C}">
  <sheetPr codeName="Sheet25">
    <tabColor theme="5" tint="0.79998168889431442"/>
  </sheetPr>
  <dimension ref="A1:D4"/>
  <sheetViews>
    <sheetView zoomScale="115" zoomScaleNormal="115" workbookViewId="0">
      <pane ySplit="1" topLeftCell="A2" activePane="bottomLeft" state="frozen"/>
      <selection activeCell="D55" sqref="D55"/>
      <selection pane="bottomLeft" activeCell="D5" sqref="D5"/>
    </sheetView>
  </sheetViews>
  <sheetFormatPr baseColWidth="10" defaultRowHeight="15" x14ac:dyDescent="0.2"/>
  <cols>
    <col min="1" max="1" width="36.6640625" customWidth="1"/>
    <col min="3" max="3" width="17.1640625" customWidth="1"/>
    <col min="4" max="4" width="110.33203125" customWidth="1"/>
  </cols>
  <sheetData>
    <row r="1" spans="1:4" ht="18" thickBot="1" x14ac:dyDescent="0.25">
      <c r="A1" s="1" t="s">
        <v>384</v>
      </c>
      <c r="B1" s="1" t="s">
        <v>1169</v>
      </c>
      <c r="C1" s="1" t="s">
        <v>5</v>
      </c>
      <c r="D1" s="158" t="s">
        <v>6</v>
      </c>
    </row>
    <row r="2" spans="1:4" ht="16" thickTop="1" x14ac:dyDescent="0.2">
      <c r="A2" s="151" t="s">
        <v>1168</v>
      </c>
      <c r="B2" s="4" t="s">
        <v>79</v>
      </c>
      <c r="C2" s="155" t="b">
        <v>0</v>
      </c>
      <c r="D2" s="9" t="s">
        <v>1212</v>
      </c>
    </row>
    <row r="3" spans="1:4" ht="48" x14ac:dyDescent="0.2">
      <c r="A3" s="151" t="s">
        <v>1213</v>
      </c>
      <c r="B3" s="59" t="b">
        <v>1</v>
      </c>
      <c r="C3" s="154" t="s">
        <v>1214</v>
      </c>
      <c r="D3" s="85" t="s">
        <v>1413</v>
      </c>
    </row>
    <row r="4" spans="1:4" x14ac:dyDescent="0.2">
      <c r="A4" s="151" t="s">
        <v>1215</v>
      </c>
      <c r="B4" s="59" t="b">
        <v>1</v>
      </c>
      <c r="C4" s="154">
        <v>9.9999999999999995E-7</v>
      </c>
      <c r="D4" s="9" t="s">
        <v>1414</v>
      </c>
    </row>
  </sheetData>
  <conditionalFormatting sqref="B3:B4">
    <cfRule type="cellIs" dxfId="1" priority="1" operator="equal">
      <formula>TRUE</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2">
    <tabColor theme="3"/>
  </sheetPr>
  <dimension ref="A1"/>
  <sheetViews>
    <sheetView workbookViewId="0">
      <selection activeCell="P61" sqref="P61"/>
    </sheetView>
  </sheetViews>
  <sheetFormatPr baseColWidth="10" defaultColWidth="9.33203125" defaultRowHeight="15" x14ac:dyDescent="0.2"/>
  <cols>
    <col min="1" max="16384" width="9.33203125" style="22"/>
  </cols>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3504-46DF-4C43-811F-C3DF71E86372}">
  <sheetPr codeName="Sheet18">
    <tabColor theme="2" tint="-9.9978637043366805E-2"/>
  </sheetPr>
  <dimension ref="A1:C11"/>
  <sheetViews>
    <sheetView zoomScale="115" zoomScaleNormal="115" workbookViewId="0">
      <selection activeCell="AL61" sqref="AL61"/>
    </sheetView>
  </sheetViews>
  <sheetFormatPr baseColWidth="10" defaultColWidth="8.83203125" defaultRowHeight="15" x14ac:dyDescent="0.2"/>
  <cols>
    <col min="1" max="1" width="14.6640625" customWidth="1"/>
    <col min="2" max="2" width="14.33203125" customWidth="1"/>
    <col min="3" max="3" width="16.6640625" customWidth="1"/>
  </cols>
  <sheetData>
    <row r="1" spans="1:3" x14ac:dyDescent="0.2">
      <c r="A1" s="125"/>
      <c r="B1" s="125"/>
      <c r="C1" s="125"/>
    </row>
    <row r="2" spans="1:3" ht="17" thickBot="1" x14ac:dyDescent="0.25">
      <c r="A2" s="11" t="s">
        <v>180</v>
      </c>
      <c r="B2" s="11" t="s">
        <v>183</v>
      </c>
      <c r="C2" s="11" t="s">
        <v>184</v>
      </c>
    </row>
    <row r="3" spans="1:3" x14ac:dyDescent="0.2">
      <c r="A3" s="18" t="s">
        <v>181</v>
      </c>
      <c r="B3" s="17" t="s">
        <v>171</v>
      </c>
      <c r="C3" s="17">
        <v>5000</v>
      </c>
    </row>
    <row r="4" spans="1:3" x14ac:dyDescent="0.2">
      <c r="A4" s="18" t="s">
        <v>182</v>
      </c>
      <c r="B4" s="17" t="s">
        <v>172</v>
      </c>
      <c r="C4" s="17">
        <v>5000</v>
      </c>
    </row>
    <row r="5" spans="1:3" x14ac:dyDescent="0.2">
      <c r="A5" s="18" t="s">
        <v>185</v>
      </c>
      <c r="B5" s="17" t="s">
        <v>173</v>
      </c>
      <c r="C5" s="17">
        <v>5000</v>
      </c>
    </row>
    <row r="6" spans="1:3" x14ac:dyDescent="0.2">
      <c r="A6" s="18" t="s">
        <v>186</v>
      </c>
      <c r="B6" s="17" t="s">
        <v>174</v>
      </c>
      <c r="C6" s="17">
        <v>5000</v>
      </c>
    </row>
    <row r="7" spans="1:3" x14ac:dyDescent="0.2">
      <c r="A7" s="18" t="s">
        <v>187</v>
      </c>
      <c r="B7" s="17" t="s">
        <v>175</v>
      </c>
      <c r="C7" s="17">
        <v>5000</v>
      </c>
    </row>
    <row r="8" spans="1:3" x14ac:dyDescent="0.2">
      <c r="A8" s="18" t="s">
        <v>188</v>
      </c>
      <c r="B8" s="17" t="s">
        <v>176</v>
      </c>
      <c r="C8" s="17">
        <v>5000</v>
      </c>
    </row>
    <row r="9" spans="1:3" x14ac:dyDescent="0.2">
      <c r="A9" s="18" t="s">
        <v>189</v>
      </c>
      <c r="B9" s="17" t="s">
        <v>177</v>
      </c>
      <c r="C9" s="17">
        <v>5000</v>
      </c>
    </row>
    <row r="10" spans="1:3" x14ac:dyDescent="0.2">
      <c r="A10" s="18" t="s">
        <v>190</v>
      </c>
      <c r="B10" s="17" t="s">
        <v>178</v>
      </c>
      <c r="C10" s="17">
        <v>5000</v>
      </c>
    </row>
    <row r="11" spans="1:3" x14ac:dyDescent="0.2">
      <c r="A11" s="18" t="s">
        <v>191</v>
      </c>
      <c r="B11" s="17" t="s">
        <v>179</v>
      </c>
      <c r="C11" s="17">
        <v>5000</v>
      </c>
    </row>
  </sheetData>
  <phoneticPr fontId="7"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8776-52E4-4B67-BCF2-934860EB66EF}">
  <sheetPr codeName="Sheet19">
    <tabColor theme="2" tint="-9.9978637043366805E-2"/>
  </sheetPr>
  <dimension ref="A1:N4"/>
  <sheetViews>
    <sheetView zoomScale="115" zoomScaleNormal="115" workbookViewId="0">
      <selection activeCell="AL61" sqref="AL61"/>
    </sheetView>
  </sheetViews>
  <sheetFormatPr baseColWidth="10" defaultColWidth="8.83203125" defaultRowHeight="15" x14ac:dyDescent="0.2"/>
  <cols>
    <col min="2" max="2" width="14.33203125" customWidth="1"/>
    <col min="3" max="3" width="16.6640625" customWidth="1"/>
    <col min="4" max="4" width="14.33203125" customWidth="1"/>
    <col min="11" max="11" width="10.6640625" customWidth="1"/>
    <col min="12" max="12" width="12.5" customWidth="1"/>
  </cols>
  <sheetData>
    <row r="1" spans="1:14" x14ac:dyDescent="0.2">
      <c r="A1" s="125"/>
      <c r="B1" s="125"/>
      <c r="C1" s="125"/>
      <c r="D1" s="125"/>
      <c r="E1" s="125"/>
      <c r="F1" s="125"/>
      <c r="G1" s="125"/>
      <c r="H1" s="125"/>
      <c r="I1" s="125"/>
      <c r="J1" s="125"/>
      <c r="K1" s="125"/>
      <c r="L1" s="125"/>
      <c r="M1" s="125"/>
      <c r="N1" s="125"/>
    </row>
    <row r="2" spans="1:14" ht="17" thickBot="1" x14ac:dyDescent="0.25">
      <c r="A2" s="11" t="s">
        <v>69</v>
      </c>
      <c r="B2" s="11" t="s">
        <v>72</v>
      </c>
      <c r="C2" s="11" t="s">
        <v>73</v>
      </c>
      <c r="D2" s="11" t="s">
        <v>74</v>
      </c>
      <c r="E2" s="11" t="s">
        <v>77</v>
      </c>
      <c r="F2" s="11" t="s">
        <v>171</v>
      </c>
      <c r="G2" s="11" t="s">
        <v>172</v>
      </c>
      <c r="H2" s="11" t="s">
        <v>173</v>
      </c>
      <c r="I2" s="11" t="s">
        <v>174</v>
      </c>
      <c r="J2" s="11" t="s">
        <v>175</v>
      </c>
      <c r="K2" s="11" t="s">
        <v>176</v>
      </c>
      <c r="L2" s="11" t="s">
        <v>177</v>
      </c>
      <c r="M2" s="11" t="s">
        <v>178</v>
      </c>
      <c r="N2" s="11" t="s">
        <v>179</v>
      </c>
    </row>
    <row r="3" spans="1:14" x14ac:dyDescent="0.2">
      <c r="A3" s="18"/>
      <c r="B3" s="17"/>
      <c r="C3" s="17"/>
      <c r="D3" s="17"/>
      <c r="E3" s="17"/>
      <c r="F3" s="17"/>
      <c r="G3" s="17"/>
      <c r="H3" s="17"/>
      <c r="I3" s="17"/>
      <c r="J3" s="17"/>
      <c r="K3" s="17"/>
      <c r="L3" s="17"/>
      <c r="M3" s="17"/>
      <c r="N3" s="17"/>
    </row>
    <row r="4" spans="1:14" x14ac:dyDescent="0.2">
      <c r="A4" s="18"/>
      <c r="B4" s="17"/>
      <c r="C4" s="17"/>
      <c r="D4" s="17"/>
      <c r="E4" s="17"/>
      <c r="F4" s="17"/>
      <c r="G4" s="17"/>
      <c r="H4" s="17"/>
      <c r="I4" s="17"/>
      <c r="J4" s="17"/>
      <c r="K4" s="17"/>
      <c r="L4" s="17"/>
      <c r="M4" s="17"/>
      <c r="N4" s="1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ACA6-7440-4D0F-9623-72B182FED6AA}">
  <sheetPr codeName="Sheet21">
    <tabColor theme="2" tint="-9.9978637043366805E-2"/>
  </sheetPr>
  <dimension ref="A1:L7"/>
  <sheetViews>
    <sheetView topLeftCell="F1" zoomScale="115" zoomScaleNormal="115" workbookViewId="0">
      <selection activeCell="AL61" sqref="AL61"/>
    </sheetView>
  </sheetViews>
  <sheetFormatPr baseColWidth="10" defaultColWidth="8.83203125" defaultRowHeight="15" x14ac:dyDescent="0.2"/>
  <cols>
    <col min="1" max="2" width="23.33203125" customWidth="1"/>
    <col min="3" max="7" width="20" customWidth="1"/>
    <col min="8" max="8" width="16.5" customWidth="1"/>
    <col min="9" max="11" width="23.6640625" customWidth="1"/>
    <col min="12" max="12" width="107" customWidth="1"/>
  </cols>
  <sheetData>
    <row r="1" spans="1:12" x14ac:dyDescent="0.2">
      <c r="A1" s="125"/>
      <c r="B1" s="125"/>
      <c r="C1" s="125"/>
      <c r="D1" s="125"/>
      <c r="E1" s="125"/>
      <c r="F1" s="125"/>
      <c r="G1" s="125"/>
      <c r="H1" s="125"/>
      <c r="I1" s="125"/>
      <c r="J1" s="125"/>
      <c r="K1" s="125"/>
      <c r="L1" s="125"/>
    </row>
    <row r="2" spans="1:12" s="12" customFormat="1" ht="17" thickBot="1" x14ac:dyDescent="0.25">
      <c r="A2" s="38" t="s">
        <v>379</v>
      </c>
      <c r="B2" s="38" t="s">
        <v>465</v>
      </c>
      <c r="C2" s="38" t="s">
        <v>194</v>
      </c>
      <c r="D2" s="38" t="s">
        <v>380</v>
      </c>
      <c r="E2" s="38" t="s">
        <v>384</v>
      </c>
      <c r="F2" s="38" t="s">
        <v>382</v>
      </c>
      <c r="G2" s="38" t="s">
        <v>381</v>
      </c>
      <c r="H2" s="38" t="s">
        <v>5</v>
      </c>
      <c r="I2" s="38" t="s">
        <v>383</v>
      </c>
      <c r="J2" s="38" t="s">
        <v>385</v>
      </c>
      <c r="K2" s="38" t="s">
        <v>386</v>
      </c>
      <c r="L2" s="38" t="s">
        <v>142</v>
      </c>
    </row>
    <row r="3" spans="1:12" x14ac:dyDescent="0.2">
      <c r="A3" s="39"/>
      <c r="B3" s="29"/>
      <c r="C3" s="40"/>
      <c r="D3" s="40"/>
      <c r="E3" s="40"/>
      <c r="F3" s="40"/>
      <c r="G3" s="40"/>
      <c r="H3" s="40"/>
      <c r="I3" s="40"/>
      <c r="J3" s="40"/>
      <c r="K3" s="40"/>
      <c r="L3" s="49"/>
    </row>
    <row r="4" spans="1:12" x14ac:dyDescent="0.2">
      <c r="A4" s="39"/>
      <c r="B4" s="29"/>
      <c r="C4" s="40"/>
      <c r="D4" s="40"/>
      <c r="E4" s="40"/>
      <c r="F4" s="40"/>
      <c r="G4" s="40"/>
      <c r="H4" s="40"/>
      <c r="I4" s="40"/>
      <c r="J4" s="40"/>
      <c r="K4" s="40"/>
      <c r="L4" s="49"/>
    </row>
    <row r="5" spans="1:12" x14ac:dyDescent="0.2">
      <c r="A5" s="39"/>
      <c r="B5" s="29"/>
      <c r="C5" s="40"/>
      <c r="D5" s="40"/>
      <c r="E5" s="40"/>
      <c r="F5" s="40"/>
      <c r="G5" s="40"/>
      <c r="H5" s="40"/>
      <c r="I5" s="40"/>
      <c r="J5" s="40"/>
      <c r="K5" s="40"/>
      <c r="L5" s="49"/>
    </row>
    <row r="6" spans="1:12" x14ac:dyDescent="0.2">
      <c r="A6" s="39"/>
      <c r="B6" s="29"/>
      <c r="C6" s="40"/>
      <c r="D6" s="40"/>
      <c r="E6" s="40"/>
      <c r="F6" s="40"/>
      <c r="G6" s="40"/>
      <c r="H6" s="40"/>
      <c r="I6" s="40"/>
      <c r="J6" s="40"/>
      <c r="K6" s="40"/>
      <c r="L6" s="49"/>
    </row>
    <row r="7" spans="1:12" x14ac:dyDescent="0.2">
      <c r="A7" s="39"/>
      <c r="B7" s="29"/>
      <c r="C7" s="40"/>
      <c r="D7" s="40"/>
      <c r="E7" s="40"/>
      <c r="F7" s="40"/>
      <c r="G7" s="40"/>
      <c r="H7" s="40"/>
      <c r="I7" s="40"/>
      <c r="J7" s="40"/>
      <c r="K7" s="40"/>
      <c r="L7" s="49"/>
    </row>
  </sheetData>
  <conditionalFormatting sqref="B3:B7">
    <cfRule type="cellIs" dxfId="0" priority="1" operator="equal">
      <formula>TRUE</formula>
    </cfRule>
  </conditionalFormatting>
  <dataValidations disablePrompts="1" count="2">
    <dataValidation type="list" allowBlank="1" showInputMessage="1" showErrorMessage="1" sqref="G3:G7" xr:uid="{05CD364F-D86B-4539-AC6A-5F8D159DF1D8}">
      <formula1>"less than, greater than, equal to"</formula1>
    </dataValidation>
    <dataValidation type="list" allowBlank="1" showInputMessage="1" showErrorMessage="1" sqref="B3:B7" xr:uid="{38DE5396-2F64-460A-8960-A1C8951037AF}">
      <formula1>"True, False"</formula1>
    </dataValidation>
  </dataValidation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6072-DC50-4728-B2EA-D99601EB427D}">
  <sheetPr codeName="Sheet23">
    <tabColor theme="2" tint="-9.9978637043366805E-2"/>
  </sheetPr>
  <dimension ref="A1:BO69"/>
  <sheetViews>
    <sheetView zoomScale="115" zoomScaleNormal="115" workbookViewId="0">
      <selection activeCell="N46" sqref="A1:XFD1048576"/>
    </sheetView>
  </sheetViews>
  <sheetFormatPr baseColWidth="10" defaultColWidth="8.83203125" defaultRowHeight="15" x14ac:dyDescent="0.2"/>
  <cols>
    <col min="1" max="1" width="20.1640625" customWidth="1"/>
    <col min="2" max="2" width="1.5" style="145" customWidth="1"/>
    <col min="3" max="3" width="21.1640625" customWidth="1"/>
    <col min="4" max="4" width="21.5" customWidth="1"/>
    <col min="5" max="5" width="10.6640625" customWidth="1"/>
    <col min="6" max="7" width="11.83203125" customWidth="1"/>
    <col min="8" max="8" width="32.6640625" customWidth="1"/>
    <col min="9" max="9" width="4.33203125" customWidth="1"/>
    <col min="10" max="10" width="16" customWidth="1"/>
    <col min="11" max="11" width="1.83203125" customWidth="1"/>
    <col min="12" max="12" width="20.83203125" customWidth="1"/>
    <col min="13" max="13" width="1.83203125" customWidth="1"/>
    <col min="14" max="14" width="20.83203125" customWidth="1"/>
    <col min="15" max="15" width="1.83203125" customWidth="1"/>
    <col min="16" max="16" width="20.83203125" customWidth="1"/>
    <col min="17" max="17" width="1.83203125" customWidth="1"/>
    <col min="18" max="18" width="31.5" customWidth="1"/>
    <col min="19" max="19" width="1.83203125" customWidth="1"/>
    <col min="20" max="20" width="20.83203125" customWidth="1"/>
    <col min="21" max="21" width="1.83203125" customWidth="1"/>
    <col min="22" max="22" width="20.83203125" customWidth="1"/>
    <col min="23" max="23" width="1.83203125" customWidth="1"/>
    <col min="24" max="24" width="20.83203125" customWidth="1"/>
    <col min="25" max="25" width="1.83203125" customWidth="1"/>
    <col min="26" max="26" width="20.83203125" customWidth="1"/>
    <col min="27" max="27" width="1.83203125" customWidth="1"/>
    <col min="28" max="28" width="20.83203125" customWidth="1"/>
    <col min="29" max="29" width="1.83203125" customWidth="1"/>
    <col min="30" max="30" width="20.83203125" customWidth="1"/>
    <col min="31" max="31" width="1.83203125" customWidth="1"/>
    <col min="32" max="32" width="20.83203125" customWidth="1"/>
    <col min="33" max="33" width="1.83203125" customWidth="1"/>
    <col min="34" max="34" width="20.83203125" customWidth="1"/>
    <col min="35" max="35" width="1.83203125" customWidth="1"/>
    <col min="36" max="36" width="20.83203125" customWidth="1"/>
    <col min="37" max="37" width="1.83203125" customWidth="1"/>
    <col min="38" max="38" width="45.1640625" customWidth="1"/>
    <col min="39" max="39" width="1.83203125" customWidth="1"/>
    <col min="40" max="40" width="20.83203125" customWidth="1"/>
    <col min="41" max="41" width="1.83203125" customWidth="1"/>
    <col min="42" max="42" width="20.83203125" customWidth="1"/>
    <col min="43" max="43" width="1.83203125" customWidth="1"/>
    <col min="44" max="44" width="20.83203125" customWidth="1"/>
    <col min="45" max="45" width="1.83203125" customWidth="1"/>
    <col min="46" max="46" width="33.1640625" customWidth="1"/>
    <col min="47" max="47" width="1.83203125" customWidth="1"/>
    <col min="48" max="48" width="30.83203125" customWidth="1"/>
    <col min="49" max="49" width="1.83203125" customWidth="1"/>
    <col min="50" max="50" width="20.83203125" customWidth="1"/>
    <col min="51" max="51" width="1.83203125" customWidth="1"/>
    <col min="52" max="52" width="20.83203125" customWidth="1"/>
    <col min="53" max="53" width="1.83203125" customWidth="1"/>
    <col min="54" max="54" width="20.83203125" customWidth="1"/>
    <col min="55" max="55" width="1.83203125" customWidth="1"/>
    <col min="56" max="56" width="31.5" customWidth="1"/>
    <col min="57" max="57" width="1.83203125" customWidth="1"/>
    <col min="58" max="58" width="31.5" customWidth="1"/>
  </cols>
  <sheetData>
    <row r="1" spans="1:67" s="12" customFormat="1" ht="19" thickBot="1" x14ac:dyDescent="0.25">
      <c r="A1" s="47" t="s">
        <v>979</v>
      </c>
      <c r="B1" s="144"/>
      <c r="C1" s="47" t="s">
        <v>271</v>
      </c>
      <c r="D1" s="47" t="s">
        <v>288</v>
      </c>
      <c r="E1" s="47" t="s">
        <v>365</v>
      </c>
      <c r="F1" s="47" t="s">
        <v>270</v>
      </c>
      <c r="G1" s="47"/>
      <c r="H1" s="47" t="s">
        <v>287</v>
      </c>
      <c r="I1" s="47"/>
      <c r="J1" s="47" t="s">
        <v>50</v>
      </c>
      <c r="K1" s="47"/>
      <c r="L1" s="47" t="s">
        <v>95</v>
      </c>
      <c r="M1" s="47"/>
      <c r="N1" s="47" t="s">
        <v>24</v>
      </c>
      <c r="O1" s="47"/>
      <c r="P1" s="47" t="s">
        <v>516</v>
      </c>
      <c r="Q1" s="47"/>
      <c r="R1" s="47" t="s">
        <v>272</v>
      </c>
      <c r="S1" s="47"/>
      <c r="T1" s="47" t="s">
        <v>277</v>
      </c>
      <c r="U1" s="47"/>
      <c r="V1" s="47" t="s">
        <v>278</v>
      </c>
      <c r="W1" s="47"/>
      <c r="X1" s="47" t="s">
        <v>70</v>
      </c>
      <c r="Y1" s="47"/>
      <c r="Z1" s="47" t="s">
        <v>517</v>
      </c>
      <c r="AA1" s="47"/>
      <c r="AB1" s="47" t="s">
        <v>96</v>
      </c>
      <c r="AC1" s="47"/>
      <c r="AD1" s="47" t="s">
        <v>55</v>
      </c>
      <c r="AE1" s="47"/>
      <c r="AF1" s="47" t="s">
        <v>279</v>
      </c>
      <c r="AG1" s="47"/>
      <c r="AH1" s="47" t="s">
        <v>280</v>
      </c>
      <c r="AI1" s="47"/>
      <c r="AJ1" s="47" t="s">
        <v>281</v>
      </c>
      <c r="AK1" s="47"/>
      <c r="AL1" s="47" t="s">
        <v>282</v>
      </c>
      <c r="AM1" s="47"/>
      <c r="AN1" s="47" t="s">
        <v>518</v>
      </c>
      <c r="AO1" s="47"/>
      <c r="AP1" s="47" t="s">
        <v>25</v>
      </c>
      <c r="AQ1" s="47"/>
      <c r="AR1" s="47" t="s">
        <v>283</v>
      </c>
      <c r="AS1" s="47"/>
      <c r="AT1" s="47" t="s">
        <v>273</v>
      </c>
      <c r="AU1" s="47"/>
      <c r="AV1" s="47" t="s">
        <v>274</v>
      </c>
      <c r="AW1" s="47"/>
      <c r="AX1" s="47" t="s">
        <v>284</v>
      </c>
      <c r="AY1" s="47"/>
      <c r="AZ1" s="47" t="s">
        <v>285</v>
      </c>
      <c r="BA1" s="47"/>
      <c r="BB1" s="47" t="s">
        <v>286</v>
      </c>
      <c r="BC1" s="47"/>
      <c r="BD1" s="47" t="s">
        <v>275</v>
      </c>
      <c r="BE1" s="47"/>
      <c r="BF1" s="47" t="s">
        <v>276</v>
      </c>
      <c r="BO1" s="48"/>
    </row>
    <row r="2" spans="1:67" ht="16" thickTop="1" x14ac:dyDescent="0.2">
      <c r="A2">
        <v>2024</v>
      </c>
      <c r="C2" t="s">
        <v>45</v>
      </c>
      <c r="D2" t="s">
        <v>52</v>
      </c>
      <c r="E2">
        <v>20</v>
      </c>
      <c r="F2">
        <v>2024</v>
      </c>
      <c r="H2" s="45" t="s">
        <v>95</v>
      </c>
      <c r="I2" s="45"/>
      <c r="K2" s="45"/>
      <c r="L2" s="45" t="s">
        <v>100</v>
      </c>
      <c r="M2" s="45"/>
      <c r="N2" s="45" t="s">
        <v>519</v>
      </c>
      <c r="O2" s="45"/>
      <c r="P2" s="45" t="s">
        <v>520</v>
      </c>
      <c r="Q2" s="45"/>
      <c r="R2" s="45" t="s">
        <v>289</v>
      </c>
      <c r="S2" s="45"/>
      <c r="T2" s="45" t="s">
        <v>292</v>
      </c>
      <c r="U2" s="45"/>
      <c r="V2" s="45" t="s">
        <v>82</v>
      </c>
      <c r="W2" s="45"/>
      <c r="X2" s="45" t="s">
        <v>303</v>
      </c>
      <c r="Y2" s="45"/>
      <c r="Z2" s="45" t="s">
        <v>521</v>
      </c>
      <c r="AA2" s="45"/>
      <c r="AB2" s="45" t="s">
        <v>97</v>
      </c>
      <c r="AC2" s="45"/>
      <c r="AD2" s="45" t="s">
        <v>60</v>
      </c>
      <c r="AE2" s="45"/>
      <c r="AF2" s="45" t="s">
        <v>82</v>
      </c>
      <c r="AG2" s="45"/>
      <c r="AH2" s="45" t="s">
        <v>313</v>
      </c>
      <c r="AI2" s="45"/>
      <c r="AJ2" s="13" t="s">
        <v>323</v>
      </c>
      <c r="AK2" s="45"/>
      <c r="AL2" s="45" t="s">
        <v>522</v>
      </c>
      <c r="AM2" s="45"/>
      <c r="AN2" s="45" t="s">
        <v>523</v>
      </c>
      <c r="AO2" s="45"/>
      <c r="AP2" s="45" t="s">
        <v>524</v>
      </c>
      <c r="AQ2" s="45"/>
      <c r="AR2" s="45" t="s">
        <v>82</v>
      </c>
      <c r="AS2" s="45"/>
      <c r="AT2" s="45" t="s">
        <v>337</v>
      </c>
      <c r="AU2" s="45"/>
      <c r="AV2" s="45" t="s">
        <v>352</v>
      </c>
      <c r="AW2" s="45"/>
      <c r="AX2" s="45" t="s">
        <v>354</v>
      </c>
      <c r="AY2" s="45"/>
      <c r="AZ2" s="45" t="s">
        <v>82</v>
      </c>
      <c r="BA2" s="45"/>
      <c r="BB2" s="45" t="s">
        <v>82</v>
      </c>
      <c r="BC2" s="45"/>
      <c r="BD2" s="45" t="s">
        <v>56</v>
      </c>
      <c r="BE2" s="45"/>
      <c r="BF2" s="45" t="s">
        <v>82</v>
      </c>
      <c r="BO2" s="13"/>
    </row>
    <row r="3" spans="1:67" x14ac:dyDescent="0.2">
      <c r="C3" t="s">
        <v>54</v>
      </c>
      <c r="D3" t="s">
        <v>57</v>
      </c>
      <c r="E3">
        <v>30</v>
      </c>
      <c r="H3" s="45" t="s">
        <v>24</v>
      </c>
      <c r="I3" s="45"/>
      <c r="K3" s="45"/>
      <c r="M3" s="45"/>
      <c r="N3" s="45" t="s">
        <v>525</v>
      </c>
      <c r="O3" s="45"/>
      <c r="P3" s="45" t="s">
        <v>526</v>
      </c>
      <c r="Q3" s="45"/>
      <c r="R3" s="45" t="s">
        <v>56</v>
      </c>
      <c r="S3" s="45"/>
      <c r="T3" s="45" t="s">
        <v>294</v>
      </c>
      <c r="U3" s="45"/>
      <c r="V3" s="45" t="s">
        <v>303</v>
      </c>
      <c r="W3" s="45"/>
      <c r="X3" s="45" t="s">
        <v>98</v>
      </c>
      <c r="Y3" s="45"/>
      <c r="Z3" s="45"/>
      <c r="AA3" s="45"/>
      <c r="AB3" s="45" t="s">
        <v>99</v>
      </c>
      <c r="AC3" s="45"/>
      <c r="AD3" s="45" t="s">
        <v>61</v>
      </c>
      <c r="AE3" s="45"/>
      <c r="AF3" s="45" t="s">
        <v>303</v>
      </c>
      <c r="AG3" s="45"/>
      <c r="AH3" s="45" t="s">
        <v>315</v>
      </c>
      <c r="AI3" s="45"/>
      <c r="AJ3" s="13" t="s">
        <v>325</v>
      </c>
      <c r="AK3" s="45"/>
      <c r="AL3" s="45" t="s">
        <v>527</v>
      </c>
      <c r="AM3" s="45"/>
      <c r="AN3" s="45" t="s">
        <v>528</v>
      </c>
      <c r="AO3" s="45"/>
      <c r="AP3" s="45" t="s">
        <v>529</v>
      </c>
      <c r="AQ3" s="45"/>
      <c r="AR3" s="45" t="s">
        <v>303</v>
      </c>
      <c r="AS3" s="45"/>
      <c r="AT3" s="45" t="s">
        <v>344</v>
      </c>
      <c r="AU3" s="45"/>
      <c r="AV3" s="45" t="s">
        <v>353</v>
      </c>
      <c r="AW3" s="45"/>
      <c r="AX3" s="45" t="s">
        <v>356</v>
      </c>
      <c r="AY3" s="45"/>
      <c r="AZ3" s="45" t="s">
        <v>303</v>
      </c>
      <c r="BA3" s="45"/>
      <c r="BB3" s="45" t="s">
        <v>303</v>
      </c>
      <c r="BC3" s="45"/>
      <c r="BD3" s="45" t="s">
        <v>47</v>
      </c>
      <c r="BE3" s="45"/>
      <c r="BF3" s="45" t="s">
        <v>303</v>
      </c>
      <c r="BO3" s="13"/>
    </row>
    <row r="4" spans="1:67" x14ac:dyDescent="0.2">
      <c r="D4" t="s">
        <v>48</v>
      </c>
      <c r="E4">
        <v>45</v>
      </c>
      <c r="H4" s="45" t="s">
        <v>516</v>
      </c>
      <c r="I4" s="45"/>
      <c r="K4" s="45"/>
      <c r="M4" s="45"/>
      <c r="N4" s="45" t="s">
        <v>530</v>
      </c>
      <c r="O4" s="45"/>
      <c r="P4" s="45"/>
      <c r="Q4" s="45"/>
      <c r="R4" s="45" t="s">
        <v>47</v>
      </c>
      <c r="S4" s="45"/>
      <c r="T4" s="45" t="s">
        <v>295</v>
      </c>
      <c r="U4" s="45"/>
      <c r="V4" s="45" t="s">
        <v>98</v>
      </c>
      <c r="W4" s="45"/>
      <c r="X4" s="45" t="s">
        <v>307</v>
      </c>
      <c r="Y4" s="45"/>
      <c r="Z4" s="45"/>
      <c r="AA4" s="45"/>
      <c r="AB4" s="45" t="s">
        <v>102</v>
      </c>
      <c r="AC4" s="45"/>
      <c r="AD4" s="45" t="s">
        <v>62</v>
      </c>
      <c r="AE4" s="45"/>
      <c r="AF4" s="45" t="s">
        <v>98</v>
      </c>
      <c r="AG4" s="45"/>
      <c r="AH4" s="45" t="s">
        <v>316</v>
      </c>
      <c r="AI4" s="45"/>
      <c r="AJ4" s="13" t="s">
        <v>326</v>
      </c>
      <c r="AK4" s="45"/>
      <c r="AL4" s="45" t="s">
        <v>531</v>
      </c>
      <c r="AM4" s="45"/>
      <c r="AN4" t="s">
        <v>532</v>
      </c>
      <c r="AO4" s="45"/>
      <c r="AQ4" s="45"/>
      <c r="AR4" s="45" t="s">
        <v>98</v>
      </c>
      <c r="AS4" s="45"/>
      <c r="AT4" s="45" t="s">
        <v>345</v>
      </c>
      <c r="AU4" s="45"/>
      <c r="AW4" s="45"/>
      <c r="AX4" s="45" t="s">
        <v>357</v>
      </c>
      <c r="AY4" s="45"/>
      <c r="AZ4" s="45" t="s">
        <v>98</v>
      </c>
      <c r="BA4" s="45"/>
      <c r="BB4" s="45" t="s">
        <v>98</v>
      </c>
      <c r="BC4" s="45"/>
      <c r="BD4" s="45" t="s">
        <v>290</v>
      </c>
      <c r="BE4" s="45"/>
      <c r="BF4" s="45" t="s">
        <v>98</v>
      </c>
      <c r="BO4" s="46"/>
    </row>
    <row r="5" spans="1:67" x14ac:dyDescent="0.2">
      <c r="E5">
        <v>55</v>
      </c>
      <c r="H5" s="45" t="s">
        <v>272</v>
      </c>
      <c r="I5" s="45"/>
      <c r="K5" s="45"/>
      <c r="M5" s="45"/>
      <c r="N5" s="45" t="s">
        <v>533</v>
      </c>
      <c r="O5" s="45"/>
      <c r="P5" s="45"/>
      <c r="Q5" s="45"/>
      <c r="R5" s="45" t="s">
        <v>290</v>
      </c>
      <c r="S5" s="45"/>
      <c r="T5" s="45" t="s">
        <v>296</v>
      </c>
      <c r="U5" s="45"/>
      <c r="V5" s="45" t="s">
        <v>304</v>
      </c>
      <c r="W5" s="45"/>
      <c r="Y5" s="45"/>
      <c r="AA5" s="45"/>
      <c r="AB5" s="45" t="s">
        <v>103</v>
      </c>
      <c r="AC5" s="45"/>
      <c r="AD5" s="45" t="s">
        <v>63</v>
      </c>
      <c r="AE5" s="45"/>
      <c r="AF5" s="45" t="s">
        <v>304</v>
      </c>
      <c r="AG5" s="45"/>
      <c r="AH5" s="45" t="s">
        <v>317</v>
      </c>
      <c r="AI5" s="45"/>
      <c r="AJ5" s="13" t="s">
        <v>327</v>
      </c>
      <c r="AK5" s="45"/>
      <c r="AL5" t="s">
        <v>534</v>
      </c>
      <c r="AM5" s="45"/>
      <c r="AN5" t="s">
        <v>535</v>
      </c>
      <c r="AO5" s="45"/>
      <c r="AQ5" s="45"/>
      <c r="AR5" s="45" t="s">
        <v>304</v>
      </c>
      <c r="AS5" s="45"/>
      <c r="AT5" s="45" t="s">
        <v>346</v>
      </c>
      <c r="AU5" s="45"/>
      <c r="AW5" s="45"/>
      <c r="AX5" s="45" t="s">
        <v>358</v>
      </c>
      <c r="AY5" s="45"/>
      <c r="AZ5" s="45" t="s">
        <v>304</v>
      </c>
      <c r="BA5" s="45"/>
      <c r="BB5" s="45" t="s">
        <v>304</v>
      </c>
      <c r="BC5" s="45"/>
      <c r="BD5" s="45" t="s">
        <v>291</v>
      </c>
      <c r="BE5" s="45"/>
      <c r="BF5" s="45" t="s">
        <v>304</v>
      </c>
    </row>
    <row r="6" spans="1:67" x14ac:dyDescent="0.2">
      <c r="E6">
        <v>60</v>
      </c>
      <c r="H6" s="45" t="s">
        <v>277</v>
      </c>
      <c r="I6" s="45"/>
      <c r="K6" s="45"/>
      <c r="M6" s="45"/>
      <c r="N6" s="45" t="s">
        <v>536</v>
      </c>
      <c r="O6" s="45"/>
      <c r="P6" s="45"/>
      <c r="Q6" s="45"/>
      <c r="R6" s="45" t="s">
        <v>291</v>
      </c>
      <c r="S6" s="45"/>
      <c r="T6" s="45" t="s">
        <v>297</v>
      </c>
      <c r="U6" s="45"/>
      <c r="V6" s="45" t="s">
        <v>101</v>
      </c>
      <c r="W6" s="45"/>
      <c r="Y6" s="45"/>
      <c r="AA6" s="45"/>
      <c r="AB6" s="45" t="s">
        <v>104</v>
      </c>
      <c r="AC6" s="45"/>
      <c r="AD6" s="45" t="s">
        <v>309</v>
      </c>
      <c r="AE6" s="45"/>
      <c r="AF6" s="45" t="s">
        <v>101</v>
      </c>
      <c r="AG6" s="45"/>
      <c r="AH6" s="45" t="s">
        <v>318</v>
      </c>
      <c r="AI6" s="45"/>
      <c r="AJ6" s="13" t="s">
        <v>328</v>
      </c>
      <c r="AK6" s="45"/>
      <c r="AL6" t="s">
        <v>537</v>
      </c>
      <c r="AM6" s="45"/>
      <c r="AO6" s="45"/>
      <c r="AQ6" s="45"/>
      <c r="AR6" s="45" t="s">
        <v>101</v>
      </c>
      <c r="AS6" s="45"/>
      <c r="AT6" s="45" t="s">
        <v>347</v>
      </c>
      <c r="AU6" s="45"/>
      <c r="AW6" s="45"/>
      <c r="AX6" s="45" t="s">
        <v>359</v>
      </c>
      <c r="AY6" s="45"/>
      <c r="AZ6" s="45" t="s">
        <v>101</v>
      </c>
      <c r="BA6" s="45"/>
      <c r="BB6" s="45" t="s">
        <v>101</v>
      </c>
      <c r="BC6" s="45"/>
      <c r="BD6" s="45" t="s">
        <v>364</v>
      </c>
      <c r="BE6" s="45"/>
      <c r="BF6" s="45" t="s">
        <v>101</v>
      </c>
    </row>
    <row r="7" spans="1:67" x14ac:dyDescent="0.2">
      <c r="E7">
        <v>75</v>
      </c>
      <c r="H7" s="45" t="s">
        <v>278</v>
      </c>
      <c r="I7" s="45"/>
      <c r="K7" s="45"/>
      <c r="M7" s="45"/>
      <c r="N7" s="45"/>
      <c r="O7" s="45"/>
      <c r="P7" s="45"/>
      <c r="Q7" s="45"/>
      <c r="S7" s="45"/>
      <c r="T7" s="45" t="s">
        <v>298</v>
      </c>
      <c r="U7" s="45"/>
      <c r="V7" s="45" t="s">
        <v>305</v>
      </c>
      <c r="W7" s="45"/>
      <c r="Y7" s="45"/>
      <c r="AA7" s="45"/>
      <c r="AB7" s="45" t="s">
        <v>105</v>
      </c>
      <c r="AC7" s="45"/>
      <c r="AD7" s="45" t="s">
        <v>310</v>
      </c>
      <c r="AE7" s="45"/>
      <c r="AF7" s="45" t="s">
        <v>305</v>
      </c>
      <c r="AG7" s="45"/>
      <c r="AH7" s="45" t="s">
        <v>319</v>
      </c>
      <c r="AI7" s="45"/>
      <c r="AJ7" s="13" t="s">
        <v>329</v>
      </c>
      <c r="AK7" s="45"/>
      <c r="AL7" t="s">
        <v>538</v>
      </c>
      <c r="AM7" s="45"/>
      <c r="AO7" s="45"/>
      <c r="AQ7" s="45"/>
      <c r="AR7" s="45" t="s">
        <v>305</v>
      </c>
      <c r="AS7" s="45"/>
      <c r="AT7" s="45" t="s">
        <v>348</v>
      </c>
      <c r="AU7" s="45"/>
      <c r="AW7" s="45"/>
      <c r="AX7" s="45" t="s">
        <v>360</v>
      </c>
      <c r="AY7" s="45"/>
      <c r="AZ7" s="45" t="s">
        <v>305</v>
      </c>
      <c r="BA7" s="45"/>
      <c r="BB7" s="45" t="s">
        <v>305</v>
      </c>
      <c r="BC7" s="45"/>
      <c r="BE7" s="45"/>
      <c r="BF7" s="45" t="s">
        <v>305</v>
      </c>
    </row>
    <row r="8" spans="1:67" x14ac:dyDescent="0.2">
      <c r="E8">
        <v>100</v>
      </c>
      <c r="H8" s="45" t="s">
        <v>70</v>
      </c>
      <c r="I8" s="45"/>
      <c r="K8" s="45"/>
      <c r="M8" s="45"/>
      <c r="O8" s="45"/>
      <c r="Q8" s="45"/>
      <c r="S8" s="45"/>
      <c r="T8" s="45" t="s">
        <v>299</v>
      </c>
      <c r="U8" s="45"/>
      <c r="V8" s="45" t="s">
        <v>306</v>
      </c>
      <c r="W8" s="45"/>
      <c r="Y8" s="45"/>
      <c r="AA8" s="45"/>
      <c r="AC8" s="45"/>
      <c r="AD8" s="45" t="s">
        <v>311</v>
      </c>
      <c r="AE8" s="45"/>
      <c r="AF8" s="45" t="s">
        <v>306</v>
      </c>
      <c r="AG8" s="45"/>
      <c r="AH8" s="45" t="s">
        <v>320</v>
      </c>
      <c r="AI8" s="45"/>
      <c r="AJ8" s="13" t="s">
        <v>330</v>
      </c>
      <c r="AK8" s="45"/>
      <c r="AL8" t="s">
        <v>539</v>
      </c>
      <c r="AM8" s="45"/>
      <c r="AO8" s="45"/>
      <c r="AQ8" s="45"/>
      <c r="AR8" s="45" t="s">
        <v>306</v>
      </c>
      <c r="AS8" s="45"/>
      <c r="AT8" s="45" t="s">
        <v>349</v>
      </c>
      <c r="AU8" s="45"/>
      <c r="AW8" s="45"/>
      <c r="AX8" s="45" t="s">
        <v>361</v>
      </c>
      <c r="AY8" s="45"/>
      <c r="AZ8" s="45" t="s">
        <v>306</v>
      </c>
      <c r="BA8" s="45"/>
      <c r="BB8" s="45" t="s">
        <v>306</v>
      </c>
      <c r="BC8" s="45"/>
      <c r="BE8" s="45"/>
      <c r="BF8" s="45" t="s">
        <v>306</v>
      </c>
    </row>
    <row r="9" spans="1:67" x14ac:dyDescent="0.2">
      <c r="H9" s="45" t="s">
        <v>517</v>
      </c>
      <c r="I9" s="45"/>
      <c r="K9" s="45"/>
      <c r="M9" s="45"/>
      <c r="O9" s="45"/>
      <c r="Q9" s="45"/>
      <c r="S9" s="45"/>
      <c r="T9" s="45" t="s">
        <v>300</v>
      </c>
      <c r="U9" s="45"/>
      <c r="V9" s="45" t="s">
        <v>307</v>
      </c>
      <c r="W9" s="45"/>
      <c r="Y9" s="45"/>
      <c r="AA9" s="45"/>
      <c r="AC9" s="45"/>
      <c r="AD9" s="45" t="s">
        <v>312</v>
      </c>
      <c r="AE9" s="45"/>
      <c r="AF9" s="45" t="s">
        <v>307</v>
      </c>
      <c r="AG9" s="45"/>
      <c r="AH9" s="45" t="s">
        <v>321</v>
      </c>
      <c r="AI9" s="45"/>
      <c r="AJ9" s="13" t="s">
        <v>331</v>
      </c>
      <c r="AK9" s="45"/>
      <c r="AL9" t="s">
        <v>540</v>
      </c>
      <c r="AM9" s="45"/>
      <c r="AO9" s="45"/>
      <c r="AQ9" s="45"/>
      <c r="AR9" s="45" t="s">
        <v>307</v>
      </c>
      <c r="AS9" s="45"/>
      <c r="AT9" s="45" t="s">
        <v>350</v>
      </c>
      <c r="AU9" s="45"/>
      <c r="AW9" s="45"/>
      <c r="AX9" s="45" t="s">
        <v>362</v>
      </c>
      <c r="AY9" s="45"/>
      <c r="AZ9" s="45" t="s">
        <v>307</v>
      </c>
      <c r="BA9" s="45"/>
      <c r="BB9" s="45" t="s">
        <v>307</v>
      </c>
      <c r="BC9" s="45"/>
      <c r="BE9" s="45"/>
      <c r="BF9" s="45" t="s">
        <v>307</v>
      </c>
    </row>
    <row r="10" spans="1:67" x14ac:dyDescent="0.2">
      <c r="H10" s="45" t="s">
        <v>96</v>
      </c>
      <c r="I10" s="45"/>
      <c r="K10" s="45"/>
      <c r="M10" s="45"/>
      <c r="O10" s="45"/>
      <c r="Q10" s="45"/>
      <c r="S10" s="45"/>
      <c r="T10" s="45" t="s">
        <v>301</v>
      </c>
      <c r="U10" s="45"/>
      <c r="V10" s="45" t="s">
        <v>308</v>
      </c>
      <c r="W10" s="45"/>
      <c r="Y10" s="45"/>
      <c r="AA10" s="45"/>
      <c r="AC10" s="45"/>
      <c r="AD10" s="45" t="s">
        <v>64</v>
      </c>
      <c r="AE10" s="45"/>
      <c r="AF10" s="45" t="s">
        <v>308</v>
      </c>
      <c r="AG10" s="45"/>
      <c r="AH10" s="45" t="s">
        <v>322</v>
      </c>
      <c r="AI10" s="45"/>
      <c r="AJ10" s="13" t="s">
        <v>332</v>
      </c>
      <c r="AK10" s="45"/>
      <c r="AL10" t="s">
        <v>541</v>
      </c>
      <c r="AM10" s="45"/>
      <c r="AO10" s="45"/>
      <c r="AQ10" s="45"/>
      <c r="AR10" s="45" t="s">
        <v>308</v>
      </c>
      <c r="AS10" s="45"/>
      <c r="AT10" s="45" t="s">
        <v>351</v>
      </c>
      <c r="AU10" s="45"/>
      <c r="AW10" s="45"/>
      <c r="AX10" s="45" t="s">
        <v>363</v>
      </c>
      <c r="AY10" s="45"/>
      <c r="AZ10" s="45" t="s">
        <v>308</v>
      </c>
      <c r="BA10" s="45"/>
      <c r="BB10" s="45" t="s">
        <v>308</v>
      </c>
      <c r="BC10" s="45"/>
      <c r="BE10" s="45"/>
      <c r="BF10" s="45" t="s">
        <v>308</v>
      </c>
      <c r="BO10" s="46"/>
    </row>
    <row r="11" spans="1:67" x14ac:dyDescent="0.2">
      <c r="H11" s="45" t="s">
        <v>55</v>
      </c>
      <c r="I11" s="45"/>
      <c r="K11" s="45"/>
      <c r="M11" s="45"/>
      <c r="O11" s="45"/>
      <c r="Q11" s="45"/>
      <c r="S11" s="45"/>
      <c r="T11" s="45" t="s">
        <v>293</v>
      </c>
      <c r="U11" s="45"/>
      <c r="V11" s="45" t="s">
        <v>302</v>
      </c>
      <c r="W11" s="45"/>
      <c r="Y11" s="45"/>
      <c r="AA11" s="45"/>
      <c r="AC11" s="45"/>
      <c r="AD11" s="45" t="s">
        <v>65</v>
      </c>
      <c r="AE11" s="45"/>
      <c r="AF11" s="45" t="s">
        <v>302</v>
      </c>
      <c r="AG11" s="45"/>
      <c r="AH11" s="45" t="s">
        <v>314</v>
      </c>
      <c r="AI11" s="45"/>
      <c r="AJ11" s="13" t="s">
        <v>324</v>
      </c>
      <c r="AK11" s="45"/>
      <c r="AL11" t="s">
        <v>542</v>
      </c>
      <c r="AM11" s="45"/>
      <c r="AO11" s="45"/>
      <c r="AQ11" s="45"/>
      <c r="AR11" s="45" t="s">
        <v>302</v>
      </c>
      <c r="AS11" s="45"/>
      <c r="AT11" s="45" t="s">
        <v>338</v>
      </c>
      <c r="AU11" s="45"/>
      <c r="AW11" s="45"/>
      <c r="AX11" s="45" t="s">
        <v>355</v>
      </c>
      <c r="AY11" s="45"/>
      <c r="AZ11" s="45" t="s">
        <v>302</v>
      </c>
      <c r="BA11" s="45"/>
      <c r="BB11" s="45" t="s">
        <v>302</v>
      </c>
      <c r="BC11" s="45"/>
      <c r="BE11" s="45"/>
      <c r="BF11" s="45" t="s">
        <v>302</v>
      </c>
      <c r="BO11" s="13"/>
    </row>
    <row r="12" spans="1:67" x14ac:dyDescent="0.2">
      <c r="H12" s="45" t="s">
        <v>279</v>
      </c>
      <c r="I12" s="45"/>
      <c r="K12" s="45"/>
      <c r="M12" s="45"/>
      <c r="O12" s="45"/>
      <c r="Q12" s="45"/>
      <c r="S12" s="45"/>
      <c r="U12" s="45"/>
      <c r="W12" s="45"/>
      <c r="Y12" s="45"/>
      <c r="AA12" s="45"/>
      <c r="AC12" s="45"/>
      <c r="AD12" s="45" t="s">
        <v>66</v>
      </c>
      <c r="AE12" s="45"/>
      <c r="AG12" s="45"/>
      <c r="AI12" s="45"/>
      <c r="AK12" s="45"/>
      <c r="AL12" t="s">
        <v>543</v>
      </c>
      <c r="AM12" s="45"/>
      <c r="AO12" s="45"/>
      <c r="AQ12" s="45"/>
      <c r="AR12" s="45" t="s">
        <v>333</v>
      </c>
      <c r="AS12" s="45"/>
      <c r="AT12" s="45" t="s">
        <v>339</v>
      </c>
      <c r="AU12" s="45"/>
      <c r="AW12" s="45"/>
      <c r="AY12" s="45"/>
      <c r="BA12" s="45"/>
      <c r="BC12" s="45"/>
      <c r="BE12" s="45"/>
    </row>
    <row r="13" spans="1:67" x14ac:dyDescent="0.2">
      <c r="H13" s="45" t="s">
        <v>280</v>
      </c>
      <c r="I13" s="45"/>
      <c r="K13" s="45"/>
      <c r="M13" s="45"/>
      <c r="O13" s="45"/>
      <c r="Q13" s="45"/>
      <c r="S13" s="45"/>
      <c r="U13" s="45"/>
      <c r="W13" s="45"/>
      <c r="Y13" s="45"/>
      <c r="AA13" s="45"/>
      <c r="AC13" s="45"/>
      <c r="AD13" s="45" t="s">
        <v>67</v>
      </c>
      <c r="AE13" s="45"/>
      <c r="AG13" s="45"/>
      <c r="AI13" s="45"/>
      <c r="AK13" s="45"/>
      <c r="AL13" t="s">
        <v>544</v>
      </c>
      <c r="AM13" s="45"/>
      <c r="AO13" s="45"/>
      <c r="AQ13" s="45"/>
      <c r="AR13" s="45" t="s">
        <v>334</v>
      </c>
      <c r="AS13" s="45"/>
      <c r="AT13" s="45" t="s">
        <v>340</v>
      </c>
      <c r="AU13" s="45"/>
      <c r="AW13" s="45"/>
      <c r="AY13" s="45"/>
      <c r="BA13" s="45"/>
      <c r="BC13" s="45"/>
      <c r="BE13" s="45"/>
    </row>
    <row r="14" spans="1:67" x14ac:dyDescent="0.2">
      <c r="H14" s="45" t="s">
        <v>281</v>
      </c>
      <c r="I14" s="45"/>
      <c r="K14" s="45"/>
      <c r="M14" s="45"/>
      <c r="O14" s="45"/>
      <c r="Q14" s="45"/>
      <c r="S14" s="45"/>
      <c r="U14" s="45"/>
      <c r="W14" s="45"/>
      <c r="Y14" s="45"/>
      <c r="AA14" s="45"/>
      <c r="AC14" s="45"/>
      <c r="AE14" s="45"/>
      <c r="AG14" s="45"/>
      <c r="AI14" s="45"/>
      <c r="AK14" s="45"/>
      <c r="AM14" s="45"/>
      <c r="AO14" s="45"/>
      <c r="AQ14" s="45"/>
      <c r="AR14" s="45" t="s">
        <v>335</v>
      </c>
      <c r="AS14" s="45"/>
      <c r="AT14" s="45" t="s">
        <v>341</v>
      </c>
      <c r="AU14" s="45"/>
      <c r="AW14" s="45"/>
      <c r="AY14" s="45"/>
      <c r="BA14" s="45"/>
      <c r="BC14" s="45"/>
      <c r="BE14" s="45"/>
    </row>
    <row r="15" spans="1:67" x14ac:dyDescent="0.2">
      <c r="H15" s="45" t="s">
        <v>282</v>
      </c>
      <c r="I15" s="45"/>
      <c r="K15" s="45"/>
      <c r="L15" s="46"/>
      <c r="M15" s="45"/>
      <c r="O15" s="45"/>
      <c r="Q15" s="45"/>
      <c r="S15" s="45"/>
      <c r="U15" s="45"/>
      <c r="W15" s="45"/>
      <c r="Y15" s="45"/>
      <c r="AA15" s="45"/>
      <c r="AC15" s="45"/>
      <c r="AE15" s="45"/>
      <c r="AG15" s="45"/>
      <c r="AI15" s="45"/>
      <c r="AK15" s="45"/>
      <c r="AM15" s="45"/>
      <c r="AO15" s="45"/>
      <c r="AQ15" s="45"/>
      <c r="AR15" s="45" t="s">
        <v>336</v>
      </c>
      <c r="AS15" s="45"/>
      <c r="AT15" s="45" t="s">
        <v>342</v>
      </c>
      <c r="AU15" s="45"/>
      <c r="AW15" s="45"/>
      <c r="AY15" s="45"/>
      <c r="BA15" s="45"/>
      <c r="BC15" s="45"/>
      <c r="BE15" s="45"/>
    </row>
    <row r="16" spans="1:67" x14ac:dyDescent="0.2">
      <c r="H16" s="45" t="s">
        <v>518</v>
      </c>
      <c r="I16" s="45"/>
      <c r="K16" s="45"/>
      <c r="L16" s="13"/>
      <c r="M16" s="45"/>
      <c r="O16" s="45"/>
      <c r="Q16" s="45"/>
      <c r="S16" s="45"/>
      <c r="U16" s="45"/>
      <c r="W16" s="45"/>
      <c r="Y16" s="45"/>
      <c r="AA16" s="45"/>
      <c r="AC16" s="45"/>
      <c r="AE16" s="45"/>
      <c r="AG16" s="45"/>
      <c r="AI16" s="45"/>
      <c r="AK16" s="45"/>
      <c r="AM16" s="45"/>
      <c r="AO16" s="45"/>
      <c r="AQ16" s="45"/>
      <c r="AS16" s="45"/>
      <c r="AT16" s="45" t="s">
        <v>343</v>
      </c>
      <c r="AU16" s="45"/>
      <c r="AW16" s="45"/>
      <c r="AY16" s="45"/>
      <c r="BA16" s="45"/>
      <c r="BC16" s="45"/>
      <c r="BE16" s="45"/>
    </row>
    <row r="17" spans="1:67" x14ac:dyDescent="0.2">
      <c r="H17" s="45" t="s">
        <v>25</v>
      </c>
      <c r="I17" s="45"/>
      <c r="K17" s="45"/>
      <c r="M17" s="45"/>
      <c r="O17" s="45"/>
      <c r="Q17" s="45"/>
      <c r="S17" s="45"/>
      <c r="U17" s="45"/>
      <c r="W17" s="45"/>
      <c r="Y17" s="45"/>
      <c r="AA17" s="45"/>
      <c r="AC17" s="45"/>
      <c r="AE17" s="45"/>
      <c r="AG17" s="45"/>
      <c r="AI17" s="45"/>
      <c r="AK17" s="45"/>
      <c r="AM17" s="45"/>
      <c r="AO17" s="45"/>
      <c r="AQ17" s="45"/>
      <c r="AS17" s="45"/>
      <c r="AT17" s="45" t="s">
        <v>545</v>
      </c>
      <c r="AU17" s="45"/>
      <c r="AW17" s="45"/>
      <c r="AY17" s="45"/>
      <c r="BA17" s="45"/>
      <c r="BC17" s="45"/>
      <c r="BE17" s="45"/>
    </row>
    <row r="18" spans="1:67" x14ac:dyDescent="0.2">
      <c r="H18" s="45" t="s">
        <v>283</v>
      </c>
      <c r="I18" s="45"/>
      <c r="K18" s="45"/>
      <c r="M18" s="45"/>
      <c r="O18" s="45"/>
      <c r="Q18" s="45"/>
      <c r="S18" s="45"/>
      <c r="U18" s="45"/>
      <c r="W18" s="45"/>
      <c r="Y18" s="45"/>
      <c r="AA18" s="45"/>
      <c r="AC18" s="45"/>
      <c r="AE18" s="45"/>
      <c r="AG18" s="45"/>
      <c r="AI18" s="45"/>
      <c r="AK18" s="45"/>
      <c r="AM18" s="45"/>
      <c r="AO18" s="45"/>
      <c r="AQ18" s="45"/>
      <c r="AS18" s="45"/>
      <c r="AT18" s="45" t="s">
        <v>546</v>
      </c>
      <c r="AU18" s="45"/>
      <c r="AW18" s="45"/>
      <c r="AY18" s="45"/>
      <c r="BA18" s="45"/>
      <c r="BC18" s="45"/>
      <c r="BE18" s="45"/>
    </row>
    <row r="19" spans="1:67" x14ac:dyDescent="0.2">
      <c r="H19" s="45" t="s">
        <v>273</v>
      </c>
      <c r="I19" s="45"/>
      <c r="K19" s="45"/>
      <c r="M19" s="45"/>
      <c r="O19" s="45"/>
      <c r="Q19" s="45"/>
      <c r="S19" s="45"/>
      <c r="U19" s="45"/>
      <c r="W19" s="45"/>
      <c r="Y19" s="45"/>
      <c r="AA19" s="45"/>
      <c r="AC19" s="45"/>
      <c r="AE19" s="45"/>
      <c r="AG19" s="45"/>
      <c r="AI19" s="45"/>
      <c r="AK19" s="45"/>
      <c r="AM19" s="45"/>
      <c r="AO19" s="45"/>
      <c r="AQ19" s="45"/>
      <c r="AS19" s="45"/>
      <c r="AT19" s="45" t="s">
        <v>547</v>
      </c>
      <c r="AU19" s="45"/>
      <c r="AW19" s="45"/>
      <c r="AY19" s="45"/>
      <c r="BA19" s="45"/>
      <c r="BC19" s="45"/>
      <c r="BE19" s="45"/>
    </row>
    <row r="20" spans="1:67" x14ac:dyDescent="0.2">
      <c r="H20" s="45" t="s">
        <v>274</v>
      </c>
      <c r="I20" s="45"/>
      <c r="K20" s="45"/>
      <c r="M20" s="45"/>
      <c r="O20" s="45"/>
      <c r="Q20" s="45"/>
      <c r="S20" s="45"/>
      <c r="U20" s="45"/>
      <c r="W20" s="45"/>
      <c r="Y20" s="45"/>
      <c r="AA20" s="45"/>
      <c r="AC20" s="45"/>
      <c r="AE20" s="45"/>
      <c r="AG20" s="45"/>
      <c r="AI20" s="45"/>
      <c r="AK20" s="45"/>
      <c r="AM20" s="45"/>
      <c r="AO20" s="45"/>
      <c r="AQ20" s="45"/>
      <c r="AS20" s="45"/>
      <c r="AT20" s="45" t="s">
        <v>548</v>
      </c>
      <c r="AU20" s="45"/>
      <c r="AW20" s="45"/>
      <c r="AY20" s="45"/>
      <c r="BA20" s="45"/>
      <c r="BC20" s="45"/>
      <c r="BE20" s="45"/>
    </row>
    <row r="21" spans="1:67" x14ac:dyDescent="0.2">
      <c r="H21" s="45" t="s">
        <v>284</v>
      </c>
      <c r="I21" s="45"/>
      <c r="K21" s="45"/>
      <c r="M21" s="45"/>
      <c r="O21" s="45"/>
      <c r="Q21" s="45"/>
      <c r="S21" s="45"/>
      <c r="U21" s="45"/>
      <c r="W21" s="45"/>
      <c r="Y21" s="45"/>
      <c r="AA21" s="45"/>
      <c r="AC21" s="45"/>
      <c r="AE21" s="45"/>
      <c r="AG21" s="45"/>
      <c r="AI21" s="45"/>
      <c r="AK21" s="45"/>
      <c r="AM21" s="45"/>
      <c r="AO21" s="45"/>
      <c r="AQ21" s="45"/>
      <c r="AS21" s="45"/>
      <c r="AU21" s="45"/>
      <c r="AW21" s="45"/>
      <c r="AY21" s="45"/>
      <c r="BA21" s="45"/>
      <c r="BC21" s="45"/>
      <c r="BE21" s="45"/>
    </row>
    <row r="22" spans="1:67" x14ac:dyDescent="0.2">
      <c r="H22" s="45" t="s">
        <v>285</v>
      </c>
      <c r="I22" s="45"/>
      <c r="K22" s="45"/>
      <c r="M22" s="45"/>
      <c r="O22" s="45"/>
      <c r="Q22" s="45"/>
      <c r="S22" s="45"/>
      <c r="U22" s="45"/>
      <c r="W22" s="45"/>
      <c r="Y22" s="45"/>
      <c r="AA22" s="45"/>
      <c r="AC22" s="45"/>
      <c r="AE22" s="45"/>
      <c r="AG22" s="45"/>
      <c r="AI22" s="45"/>
      <c r="AK22" s="45"/>
      <c r="AM22" s="45"/>
      <c r="AO22" s="45"/>
      <c r="AQ22" s="45"/>
      <c r="AS22" s="45"/>
      <c r="AU22" s="45"/>
      <c r="AW22" s="45"/>
      <c r="AY22" s="45"/>
      <c r="BA22" s="45"/>
      <c r="BC22" s="45"/>
      <c r="BE22" s="45"/>
      <c r="BO22" s="46"/>
    </row>
    <row r="23" spans="1:67" x14ac:dyDescent="0.2">
      <c r="H23" t="s">
        <v>286</v>
      </c>
      <c r="BO23" s="13"/>
    </row>
    <row r="24" spans="1:67" x14ac:dyDescent="0.2">
      <c r="H24" t="s">
        <v>275</v>
      </c>
    </row>
    <row r="25" spans="1:67" x14ac:dyDescent="0.2">
      <c r="H25" t="s">
        <v>276</v>
      </c>
    </row>
    <row r="26" spans="1:67" x14ac:dyDescent="0.2">
      <c r="H26" s="45" t="s">
        <v>516</v>
      </c>
    </row>
    <row r="27" spans="1:67" s="145" customFormat="1" x14ac:dyDescent="0.2"/>
    <row r="28" spans="1:67" ht="19" thickBot="1" x14ac:dyDescent="0.25">
      <c r="A28" s="47" t="s">
        <v>979</v>
      </c>
      <c r="C28" s="47" t="s">
        <v>271</v>
      </c>
      <c r="D28" s="47" t="s">
        <v>288</v>
      </c>
      <c r="E28" s="47" t="s">
        <v>365</v>
      </c>
      <c r="F28" s="47" t="s">
        <v>270</v>
      </c>
      <c r="G28" s="47"/>
      <c r="H28" s="47" t="s">
        <v>287</v>
      </c>
      <c r="I28" s="47"/>
      <c r="J28" s="47" t="s">
        <v>50</v>
      </c>
      <c r="K28" s="47"/>
      <c r="L28" t="s">
        <v>95</v>
      </c>
      <c r="N28" t="s">
        <v>70</v>
      </c>
      <c r="P28" t="s">
        <v>987</v>
      </c>
      <c r="R28" t="s">
        <v>988</v>
      </c>
      <c r="T28" t="s">
        <v>984</v>
      </c>
      <c r="V28" t="s">
        <v>272</v>
      </c>
      <c r="X28" t="s">
        <v>983</v>
      </c>
      <c r="Z28" t="s">
        <v>96</v>
      </c>
      <c r="AB28" t="s">
        <v>55</v>
      </c>
      <c r="AD28" t="s">
        <v>982</v>
      </c>
      <c r="AF28" t="s">
        <v>986</v>
      </c>
      <c r="AH28" t="s">
        <v>989</v>
      </c>
      <c r="AJ28" t="s">
        <v>25</v>
      </c>
      <c r="AL28" t="s">
        <v>980</v>
      </c>
      <c r="AN28" t="s">
        <v>273</v>
      </c>
      <c r="AP28" t="s">
        <v>985</v>
      </c>
      <c r="AR28" t="s">
        <v>274</v>
      </c>
      <c r="AT28" t="s">
        <v>275</v>
      </c>
      <c r="AV28" t="s">
        <v>276</v>
      </c>
      <c r="AX28" t="s">
        <v>981</v>
      </c>
    </row>
    <row r="29" spans="1:67" ht="16" thickTop="1" x14ac:dyDescent="0.2">
      <c r="A29">
        <v>2025</v>
      </c>
      <c r="C29" t="s">
        <v>45</v>
      </c>
      <c r="D29" t="s">
        <v>52</v>
      </c>
      <c r="E29">
        <v>20</v>
      </c>
      <c r="F29">
        <v>2025</v>
      </c>
      <c r="H29" t="s">
        <v>95</v>
      </c>
      <c r="I29" s="45"/>
      <c r="K29" s="45"/>
      <c r="L29" t="s">
        <v>521</v>
      </c>
      <c r="N29" t="s">
        <v>521</v>
      </c>
      <c r="P29" t="s">
        <v>521</v>
      </c>
      <c r="R29" t="s">
        <v>995</v>
      </c>
      <c r="T29" t="s">
        <v>521</v>
      </c>
      <c r="V29" t="s">
        <v>521</v>
      </c>
      <c r="X29" t="s">
        <v>521</v>
      </c>
      <c r="Z29" t="s">
        <v>521</v>
      </c>
      <c r="AB29" t="s">
        <v>521</v>
      </c>
      <c r="AD29" t="s">
        <v>521</v>
      </c>
      <c r="AF29" t="s">
        <v>521</v>
      </c>
      <c r="AH29" t="s">
        <v>1080</v>
      </c>
      <c r="AJ29" t="s">
        <v>521</v>
      </c>
      <c r="AL29" t="s">
        <v>521</v>
      </c>
      <c r="AN29" t="s">
        <v>521</v>
      </c>
      <c r="AP29" t="s">
        <v>521</v>
      </c>
      <c r="AR29" t="s">
        <v>521</v>
      </c>
      <c r="AT29" t="s">
        <v>521</v>
      </c>
      <c r="AV29" t="s">
        <v>521</v>
      </c>
      <c r="AX29" t="s">
        <v>521</v>
      </c>
    </row>
    <row r="30" spans="1:67" x14ac:dyDescent="0.2">
      <c r="C30" t="s">
        <v>54</v>
      </c>
      <c r="D30" t="s">
        <v>57</v>
      </c>
      <c r="E30">
        <v>30</v>
      </c>
      <c r="H30" t="s">
        <v>70</v>
      </c>
      <c r="I30" s="45"/>
      <c r="K30" s="45"/>
      <c r="L30" t="s">
        <v>990</v>
      </c>
      <c r="N30" t="s">
        <v>992</v>
      </c>
      <c r="P30" t="s">
        <v>519</v>
      </c>
      <c r="R30" t="s">
        <v>996</v>
      </c>
      <c r="T30" t="s">
        <v>997</v>
      </c>
      <c r="V30" t="s">
        <v>1007</v>
      </c>
      <c r="X30" t="s">
        <v>1012</v>
      </c>
      <c r="Z30" t="s">
        <v>1052</v>
      </c>
      <c r="AB30" t="s">
        <v>1058</v>
      </c>
      <c r="AD30" t="s">
        <v>1070</v>
      </c>
      <c r="AF30" t="s">
        <v>522</v>
      </c>
      <c r="AH30" t="s">
        <v>1081</v>
      </c>
      <c r="AJ30" t="s">
        <v>524</v>
      </c>
      <c r="AL30" t="s">
        <v>1085</v>
      </c>
      <c r="AN30" t="s">
        <v>1099</v>
      </c>
      <c r="AP30" t="s">
        <v>1119</v>
      </c>
      <c r="AR30" t="s">
        <v>1129</v>
      </c>
      <c r="AT30" t="s">
        <v>1131</v>
      </c>
      <c r="AV30" t="s">
        <v>1136</v>
      </c>
      <c r="AX30" t="s">
        <v>1146</v>
      </c>
    </row>
    <row r="31" spans="1:67" x14ac:dyDescent="0.2">
      <c r="D31" t="s">
        <v>48</v>
      </c>
      <c r="E31">
        <v>45</v>
      </c>
      <c r="H31" t="s">
        <v>987</v>
      </c>
      <c r="I31" s="45"/>
      <c r="K31" s="45"/>
      <c r="L31" t="s">
        <v>991</v>
      </c>
      <c r="N31" t="s">
        <v>993</v>
      </c>
      <c r="P31" t="s">
        <v>525</v>
      </c>
      <c r="T31" t="s">
        <v>998</v>
      </c>
      <c r="V31" t="s">
        <v>1008</v>
      </c>
      <c r="X31" t="s">
        <v>1013</v>
      </c>
      <c r="Z31" t="s">
        <v>1053</v>
      </c>
      <c r="AB31" t="s">
        <v>1059</v>
      </c>
      <c r="AD31" t="s">
        <v>1071</v>
      </c>
      <c r="AF31" t="s">
        <v>527</v>
      </c>
      <c r="AH31" t="s">
        <v>1082</v>
      </c>
      <c r="AJ31" t="s">
        <v>1084</v>
      </c>
      <c r="AL31" t="s">
        <v>1086</v>
      </c>
      <c r="AN31" t="s">
        <v>1100</v>
      </c>
      <c r="AP31" t="s">
        <v>1120</v>
      </c>
      <c r="AR31" t="s">
        <v>1130</v>
      </c>
      <c r="AT31" t="s">
        <v>1132</v>
      </c>
      <c r="AV31" t="s">
        <v>1137</v>
      </c>
      <c r="AX31" t="s">
        <v>1147</v>
      </c>
    </row>
    <row r="32" spans="1:67" x14ac:dyDescent="0.2">
      <c r="E32">
        <v>55</v>
      </c>
      <c r="H32" t="s">
        <v>988</v>
      </c>
      <c r="I32" s="45"/>
      <c r="K32" s="45"/>
      <c r="N32" t="s">
        <v>994</v>
      </c>
      <c r="P32" t="s">
        <v>530</v>
      </c>
      <c r="T32" t="s">
        <v>999</v>
      </c>
      <c r="V32" t="s">
        <v>1009</v>
      </c>
      <c r="X32" t="s">
        <v>1014</v>
      </c>
      <c r="Z32" t="s">
        <v>1054</v>
      </c>
      <c r="AB32" t="s">
        <v>1060</v>
      </c>
      <c r="AD32" t="s">
        <v>1072</v>
      </c>
      <c r="AF32" t="s">
        <v>531</v>
      </c>
      <c r="AH32" t="s">
        <v>1083</v>
      </c>
      <c r="AJ32" t="s">
        <v>529</v>
      </c>
      <c r="AL32" t="s">
        <v>1087</v>
      </c>
      <c r="AN32" t="s">
        <v>1101</v>
      </c>
      <c r="AP32" t="s">
        <v>1121</v>
      </c>
      <c r="AT32" t="s">
        <v>1133</v>
      </c>
      <c r="AV32" t="s">
        <v>1138</v>
      </c>
      <c r="AX32" t="s">
        <v>1148</v>
      </c>
    </row>
    <row r="33" spans="5:50" x14ac:dyDescent="0.2">
      <c r="E33">
        <v>60</v>
      </c>
      <c r="H33" t="s">
        <v>984</v>
      </c>
      <c r="I33" s="45"/>
      <c r="K33" s="45"/>
      <c r="P33" t="s">
        <v>533</v>
      </c>
      <c r="T33" t="s">
        <v>1000</v>
      </c>
      <c r="V33" t="s">
        <v>1010</v>
      </c>
      <c r="X33" t="s">
        <v>1015</v>
      </c>
      <c r="Z33" t="s">
        <v>1055</v>
      </c>
      <c r="AB33" t="s">
        <v>1061</v>
      </c>
      <c r="AD33" t="s">
        <v>1073</v>
      </c>
      <c r="AF33" t="s">
        <v>534</v>
      </c>
      <c r="AL33" t="s">
        <v>1088</v>
      </c>
      <c r="AN33" t="s">
        <v>1102</v>
      </c>
      <c r="AP33" t="s">
        <v>1122</v>
      </c>
      <c r="AT33" t="s">
        <v>1134</v>
      </c>
      <c r="AV33" t="s">
        <v>1139</v>
      </c>
      <c r="AX33" t="s">
        <v>1149</v>
      </c>
    </row>
    <row r="34" spans="5:50" x14ac:dyDescent="0.2">
      <c r="E34">
        <v>75</v>
      </c>
      <c r="H34" t="s">
        <v>272</v>
      </c>
      <c r="I34" s="45"/>
      <c r="K34" s="45"/>
      <c r="P34" t="s">
        <v>536</v>
      </c>
      <c r="T34" t="s">
        <v>1001</v>
      </c>
      <c r="V34" t="s">
        <v>1011</v>
      </c>
      <c r="X34" t="s">
        <v>1016</v>
      </c>
      <c r="Z34" t="s">
        <v>1056</v>
      </c>
      <c r="AB34" t="s">
        <v>1062</v>
      </c>
      <c r="AD34" t="s">
        <v>1074</v>
      </c>
      <c r="AF34" t="s">
        <v>537</v>
      </c>
      <c r="AL34" t="s">
        <v>1089</v>
      </c>
      <c r="AN34" t="s">
        <v>1103</v>
      </c>
      <c r="AP34" t="s">
        <v>1123</v>
      </c>
      <c r="AT34" t="s">
        <v>1135</v>
      </c>
      <c r="AV34" t="s">
        <v>1140</v>
      </c>
      <c r="AX34" t="s">
        <v>1150</v>
      </c>
    </row>
    <row r="35" spans="5:50" x14ac:dyDescent="0.2">
      <c r="E35">
        <v>100</v>
      </c>
      <c r="H35" t="s">
        <v>983</v>
      </c>
      <c r="I35" s="45"/>
      <c r="K35" s="45"/>
      <c r="T35" t="s">
        <v>1002</v>
      </c>
      <c r="X35" t="s">
        <v>1017</v>
      </c>
      <c r="Z35" t="s">
        <v>1057</v>
      </c>
      <c r="AB35" t="s">
        <v>1063</v>
      </c>
      <c r="AD35" t="s">
        <v>1075</v>
      </c>
      <c r="AF35" t="s">
        <v>538</v>
      </c>
      <c r="AL35" t="s">
        <v>1090</v>
      </c>
      <c r="AN35" t="s">
        <v>1104</v>
      </c>
      <c r="AP35" t="s">
        <v>1124</v>
      </c>
      <c r="AV35" t="s">
        <v>1141</v>
      </c>
      <c r="AX35" t="s">
        <v>1151</v>
      </c>
    </row>
    <row r="36" spans="5:50" x14ac:dyDescent="0.2">
      <c r="H36" t="s">
        <v>96</v>
      </c>
      <c r="I36" s="45"/>
      <c r="K36" s="45"/>
      <c r="T36" t="s">
        <v>1003</v>
      </c>
      <c r="X36" t="s">
        <v>1018</v>
      </c>
      <c r="AB36" t="s">
        <v>1064</v>
      </c>
      <c r="AD36" t="s">
        <v>1076</v>
      </c>
      <c r="AF36" t="s">
        <v>539</v>
      </c>
      <c r="AL36" t="s">
        <v>1091</v>
      </c>
      <c r="AN36" t="s">
        <v>1105</v>
      </c>
      <c r="AP36" t="s">
        <v>1125</v>
      </c>
      <c r="AV36" t="s">
        <v>1142</v>
      </c>
      <c r="AX36" t="s">
        <v>1152</v>
      </c>
    </row>
    <row r="37" spans="5:50" x14ac:dyDescent="0.2">
      <c r="H37" t="s">
        <v>55</v>
      </c>
      <c r="I37" s="45"/>
      <c r="K37" s="45"/>
      <c r="T37" t="s">
        <v>1004</v>
      </c>
      <c r="X37" t="s">
        <v>1019</v>
      </c>
      <c r="AB37" t="s">
        <v>1065</v>
      </c>
      <c r="AD37" t="s">
        <v>1077</v>
      </c>
      <c r="AF37" t="s">
        <v>540</v>
      </c>
      <c r="AL37" t="s">
        <v>1092</v>
      </c>
      <c r="AN37" t="s">
        <v>1106</v>
      </c>
      <c r="AP37" t="s">
        <v>1126</v>
      </c>
      <c r="AV37" t="s">
        <v>1143</v>
      </c>
      <c r="AX37" t="s">
        <v>1153</v>
      </c>
    </row>
    <row r="38" spans="5:50" x14ac:dyDescent="0.2">
      <c r="H38" t="s">
        <v>982</v>
      </c>
      <c r="I38" s="45"/>
      <c r="K38" s="45"/>
      <c r="T38" t="s">
        <v>1005</v>
      </c>
      <c r="X38" t="s">
        <v>1020</v>
      </c>
      <c r="AB38" t="s">
        <v>1066</v>
      </c>
      <c r="AD38" t="s">
        <v>1078</v>
      </c>
      <c r="AF38" t="s">
        <v>541</v>
      </c>
      <c r="AL38" t="s">
        <v>1093</v>
      </c>
      <c r="AN38" t="s">
        <v>1107</v>
      </c>
      <c r="AP38" t="s">
        <v>1127</v>
      </c>
      <c r="AV38" t="s">
        <v>1144</v>
      </c>
      <c r="AX38" t="s">
        <v>1154</v>
      </c>
    </row>
    <row r="39" spans="5:50" x14ac:dyDescent="0.2">
      <c r="H39" t="s">
        <v>986</v>
      </c>
      <c r="I39" s="45"/>
      <c r="K39" s="45"/>
      <c r="T39" t="s">
        <v>1006</v>
      </c>
      <c r="X39" t="s">
        <v>1021</v>
      </c>
      <c r="AB39" t="s">
        <v>1067</v>
      </c>
      <c r="AD39" t="s">
        <v>1079</v>
      </c>
      <c r="AF39" t="s">
        <v>542</v>
      </c>
      <c r="AL39" t="s">
        <v>1094</v>
      </c>
      <c r="AN39" t="s">
        <v>1108</v>
      </c>
      <c r="AP39" t="s">
        <v>1128</v>
      </c>
      <c r="AV39" t="s">
        <v>1145</v>
      </c>
      <c r="AX39" t="s">
        <v>1155</v>
      </c>
    </row>
    <row r="40" spans="5:50" x14ac:dyDescent="0.2">
      <c r="H40" t="s">
        <v>989</v>
      </c>
      <c r="I40" s="45"/>
      <c r="K40" s="45"/>
      <c r="X40" t="s">
        <v>1022</v>
      </c>
      <c r="AB40" t="s">
        <v>1068</v>
      </c>
      <c r="AF40" t="s">
        <v>543</v>
      </c>
      <c r="AL40" t="s">
        <v>1095</v>
      </c>
      <c r="AN40" t="s">
        <v>1109</v>
      </c>
    </row>
    <row r="41" spans="5:50" x14ac:dyDescent="0.2">
      <c r="H41" t="s">
        <v>25</v>
      </c>
      <c r="I41" s="45"/>
      <c r="K41" s="45"/>
      <c r="X41" t="s">
        <v>1023</v>
      </c>
      <c r="AB41" t="s">
        <v>1069</v>
      </c>
      <c r="AF41" t="s">
        <v>544</v>
      </c>
      <c r="AL41" t="s">
        <v>1096</v>
      </c>
      <c r="AN41" t="s">
        <v>1110</v>
      </c>
    </row>
    <row r="42" spans="5:50" x14ac:dyDescent="0.2">
      <c r="H42" t="s">
        <v>980</v>
      </c>
      <c r="I42" s="45"/>
      <c r="K42" s="45"/>
      <c r="X42" t="s">
        <v>1024</v>
      </c>
      <c r="AL42" t="s">
        <v>1097</v>
      </c>
      <c r="AN42" t="s">
        <v>1111</v>
      </c>
    </row>
    <row r="43" spans="5:50" x14ac:dyDescent="0.2">
      <c r="H43" t="s">
        <v>273</v>
      </c>
      <c r="I43" s="45"/>
      <c r="K43" s="45"/>
      <c r="X43" t="s">
        <v>1025</v>
      </c>
      <c r="AL43" t="s">
        <v>1098</v>
      </c>
      <c r="AN43" t="s">
        <v>1112</v>
      </c>
    </row>
    <row r="44" spans="5:50" x14ac:dyDescent="0.2">
      <c r="H44" t="s">
        <v>985</v>
      </c>
      <c r="I44" s="45"/>
      <c r="K44" s="45"/>
      <c r="X44" t="s">
        <v>1026</v>
      </c>
      <c r="AN44" t="s">
        <v>1113</v>
      </c>
    </row>
    <row r="45" spans="5:50" x14ac:dyDescent="0.2">
      <c r="H45" t="s">
        <v>274</v>
      </c>
      <c r="I45" s="45"/>
      <c r="K45" s="45"/>
      <c r="X45" t="s">
        <v>1027</v>
      </c>
      <c r="AN45" t="s">
        <v>1114</v>
      </c>
    </row>
    <row r="46" spans="5:50" x14ac:dyDescent="0.2">
      <c r="H46" t="s">
        <v>275</v>
      </c>
      <c r="I46" s="45"/>
      <c r="K46" s="45"/>
      <c r="X46" t="s">
        <v>1028</v>
      </c>
      <c r="AN46" t="s">
        <v>1115</v>
      </c>
    </row>
    <row r="47" spans="5:50" x14ac:dyDescent="0.2">
      <c r="H47" t="s">
        <v>276</v>
      </c>
      <c r="I47" s="45"/>
      <c r="K47" s="45"/>
      <c r="X47" t="s">
        <v>1029</v>
      </c>
      <c r="AN47" t="s">
        <v>1116</v>
      </c>
    </row>
    <row r="48" spans="5:50" x14ac:dyDescent="0.2">
      <c r="H48" t="s">
        <v>981</v>
      </c>
      <c r="I48" s="45"/>
      <c r="K48" s="45"/>
      <c r="X48" t="s">
        <v>1030</v>
      </c>
      <c r="AN48" t="s">
        <v>1117</v>
      </c>
    </row>
    <row r="49" spans="9:40" x14ac:dyDescent="0.2">
      <c r="I49" s="45"/>
      <c r="K49" s="45"/>
      <c r="X49" t="s">
        <v>1031</v>
      </c>
      <c r="AN49" t="s">
        <v>1118</v>
      </c>
    </row>
    <row r="50" spans="9:40" x14ac:dyDescent="0.2">
      <c r="X50" t="s">
        <v>1032</v>
      </c>
    </row>
    <row r="51" spans="9:40" x14ac:dyDescent="0.2">
      <c r="X51" t="s">
        <v>1033</v>
      </c>
    </row>
    <row r="52" spans="9:40" x14ac:dyDescent="0.2">
      <c r="X52" t="s">
        <v>1034</v>
      </c>
    </row>
    <row r="53" spans="9:40" x14ac:dyDescent="0.2">
      <c r="X53" t="s">
        <v>1035</v>
      </c>
    </row>
    <row r="54" spans="9:40" x14ac:dyDescent="0.2">
      <c r="X54" t="s">
        <v>1036</v>
      </c>
    </row>
    <row r="55" spans="9:40" x14ac:dyDescent="0.2">
      <c r="X55" t="s">
        <v>1037</v>
      </c>
    </row>
    <row r="56" spans="9:40" x14ac:dyDescent="0.2">
      <c r="X56" t="s">
        <v>1038</v>
      </c>
    </row>
    <row r="57" spans="9:40" x14ac:dyDescent="0.2">
      <c r="X57" t="s">
        <v>1039</v>
      </c>
    </row>
    <row r="58" spans="9:40" x14ac:dyDescent="0.2">
      <c r="X58" t="s">
        <v>1040</v>
      </c>
    </row>
    <row r="59" spans="9:40" x14ac:dyDescent="0.2">
      <c r="X59" t="s">
        <v>1041</v>
      </c>
    </row>
    <row r="60" spans="9:40" x14ac:dyDescent="0.2">
      <c r="X60" t="s">
        <v>1042</v>
      </c>
    </row>
    <row r="61" spans="9:40" x14ac:dyDescent="0.2">
      <c r="X61" t="s">
        <v>1043</v>
      </c>
    </row>
    <row r="62" spans="9:40" x14ac:dyDescent="0.2">
      <c r="X62" t="s">
        <v>1044</v>
      </c>
    </row>
    <row r="63" spans="9:40" x14ac:dyDescent="0.2">
      <c r="X63" t="s">
        <v>1045</v>
      </c>
    </row>
    <row r="64" spans="9:40" x14ac:dyDescent="0.2">
      <c r="X64" t="s">
        <v>1046</v>
      </c>
    </row>
    <row r="65" spans="24:24" x14ac:dyDescent="0.2">
      <c r="X65" t="s">
        <v>1047</v>
      </c>
    </row>
    <row r="66" spans="24:24" x14ac:dyDescent="0.2">
      <c r="X66" t="s">
        <v>1048</v>
      </c>
    </row>
    <row r="67" spans="24:24" x14ac:dyDescent="0.2">
      <c r="X67" t="s">
        <v>1049</v>
      </c>
    </row>
    <row r="68" spans="24:24" x14ac:dyDescent="0.2">
      <c r="X68" t="s">
        <v>1050</v>
      </c>
    </row>
    <row r="69" spans="24:24" x14ac:dyDescent="0.2">
      <c r="X69" t="s">
        <v>1051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FBC049CF63F64FACA33DD1FD7E1B6E" ma:contentTypeVersion="8" ma:contentTypeDescription="Create a new document." ma:contentTypeScope="" ma:versionID="c5acb5a5195a98dcd668344608e5728c">
  <xsd:schema xmlns:xsd="http://www.w3.org/2001/XMLSchema" xmlns:xs="http://www.w3.org/2001/XMLSchema" xmlns:p="http://schemas.microsoft.com/office/2006/metadata/properties" xmlns:ns2="c3fad69a-083d-4eed-9a40-dd0525c3babc" xmlns:ns3="a8dc7f19-8260-4f72-a0ef-01ef3eeb28de" targetNamespace="http://schemas.microsoft.com/office/2006/metadata/properties" ma:root="true" ma:fieldsID="91f84b796bc1098eb5240def8d4cd882" ns2:_="" ns3:_="">
    <xsd:import namespace="c3fad69a-083d-4eed-9a40-dd0525c3babc"/>
    <xsd:import namespace="a8dc7f19-8260-4f72-a0ef-01ef3eeb28d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fad69a-083d-4eed-9a40-dd0525c3b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dc7f19-8260-4f72-a0ef-01ef3eeb28d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F009F3-A0E5-4B40-A9F5-6CA3971466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fad69a-083d-4eed-9a40-dd0525c3babc"/>
    <ds:schemaRef ds:uri="a8dc7f19-8260-4f72-a0ef-01ef3eeb28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3C28C9-6747-4707-8003-3786EE666A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Simulation Setting</vt:lpstr>
      <vt:lpstr>Planning Design</vt:lpstr>
      <vt:lpstr>Gen Technology</vt:lpstr>
      <vt:lpstr>RA Setting</vt:lpstr>
      <vt:lpstr>Simulation Configuration</vt:lpstr>
      <vt:lpstr>Scenario -&gt;</vt:lpstr>
      <vt:lpstr>RA Scenarios</vt:lpstr>
      <vt:lpstr>Scenario Reduction Setting</vt:lpstr>
      <vt:lpstr>Financial Params -&gt;</vt:lpstr>
      <vt:lpstr>ATB Setting</vt:lpstr>
      <vt:lpstr>Storage Cost and Performance</vt:lpstr>
      <vt:lpstr>ITC</vt:lpstr>
      <vt:lpstr>PTC</vt:lpstr>
      <vt:lpstr>Solver Settings -&gt;</vt:lpstr>
      <vt:lpstr>HiGHS Setting</vt:lpstr>
      <vt:lpstr>CPLEX Setting</vt:lpstr>
      <vt:lpstr>cuOpt Setting</vt:lpstr>
      <vt:lpstr>MadNLP Setting</vt:lpstr>
      <vt:lpstr>Ancillary Tabs-&gt;</vt:lpstr>
      <vt:lpstr>Raw Materials</vt:lpstr>
      <vt:lpstr>Gen Technology Raw Materials</vt:lpstr>
      <vt:lpstr>External Constraints</vt:lpstr>
      <vt:lpstr>ATB Params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Jonghwan Kwon</dc:creator>
  <cp:lastModifiedBy>Kwon, Jonghwan</cp:lastModifiedBy>
  <dcterms:created xsi:type="dcterms:W3CDTF">2019-07-17T16:06:22Z</dcterms:created>
  <dcterms:modified xsi:type="dcterms:W3CDTF">2026-09-30T23:21:57Z</dcterms:modified>
</cp:coreProperties>
</file>